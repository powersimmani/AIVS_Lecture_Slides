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ihwankim/Downloads/Excel-worksheets 2/"/>
    </mc:Choice>
  </mc:AlternateContent>
  <xr:revisionPtr revIDLastSave="0" documentId="8_{C36C261C-0AF6-1B43-B837-598CFC58B267}" xr6:coauthVersionLast="47" xr6:coauthVersionMax="47" xr10:uidLastSave="{00000000-0000-0000-0000-000000000000}"/>
  <bookViews>
    <workbookView xWindow="4300" yWindow="680" windowWidth="29900" windowHeight="19580" activeTab="4" xr2:uid="{00000000-000D-0000-FFFF-FFFF00000000}"/>
  </bookViews>
  <sheets>
    <sheet name="Instructions" sheetId="1" r:id="rId1"/>
    <sheet name="Expectation_Variance" sheetId="2" r:id="rId2"/>
    <sheet name="Covariance_Correlation" sheetId="3" r:id="rId3"/>
    <sheet name="Bayes_Theorem" sheetId="4" r:id="rId4"/>
    <sheet name="Distributions" sheetId="5" r:id="rId5"/>
    <sheet name="Answer_Key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4" i="4"/>
  <c r="B4" i="3"/>
  <c r="B4" i="2"/>
</calcChain>
</file>

<file path=xl/sharedStrings.xml><?xml version="1.0" encoding="utf-8"?>
<sst xmlns="http://schemas.openxmlformats.org/spreadsheetml/2006/main" count="205" uniqueCount="191">
  <si>
    <t>[Description] This worksheet covers probability and statistics fundamentals needed for understanding machine learning.</t>
  </si>
  <si>
    <t>Probability and Statistics Basic Calculation Practice Worksheet</t>
  </si>
  <si>
    <t>Lecture 03 Part 2: Probability and Statistics Fundamentals</t>
  </si>
  <si>
    <t>[Learning Objectives]</t>
  </si>
  <si>
    <t>1. Calculate expected value and variance of discrete probability distribution</t>
  </si>
  <si>
    <t>2. Understand covariance and correlation between two variables</t>
  </si>
  <si>
    <t>3. Apply conditional probability and Bayes' theorem</t>
  </si>
  <si>
    <t>4. Calculate binomial distribution probability</t>
  </si>
  <si>
    <t>5. Real application of statistical concepts (disease test example)</t>
  </si>
  <si>
    <t>[Key Formulas - Expected Value and Variance]</t>
  </si>
  <si>
    <t>* Expected value (Expectation):     E[X] = Sum(x_i * P(x_i))</t>
  </si>
  <si>
    <t>* Variance:          Var(X) = E[X^2] - (E[X])^2</t>
  </si>
  <si>
    <t xml:space="preserve">                            or Var(X) = E[(X - mu)^2]</t>
  </si>
  <si>
    <t>* Standard deviation (Std Dev):       sigma = sqrt(Var(X))</t>
  </si>
  <si>
    <t>[Key Formulas - Covariance and Correlation]</t>
  </si>
  <si>
    <t>* Covariance:      Cov(X,Y) = E[(X - mu_X)(Y - mu_Y)]</t>
  </si>
  <si>
    <t xml:space="preserve">                            = (1/n) * Sum((x_i - mean_X)(y_i - mean_Y))</t>
  </si>
  <si>
    <t>* Correlation coefficient:   rho = Cov(X,Y) / (sigma_X * sigma_Y)</t>
  </si>
  <si>
    <t xml:space="preserve">                            Range: -1 &lt;= rho &lt;= 1</t>
  </si>
  <si>
    <t>[Key Formulas - Bayes Theorem]</t>
  </si>
  <si>
    <t>* Conditional probability:              P(A|B) = P(A and B) / P(B)</t>
  </si>
  <si>
    <t>* Bayes' theorem:              P(A|B) = P(B|A) * P(A) / P(B)</t>
  </si>
  <si>
    <t>* Law of total probability:           P(B) = P(B|A)*P(A) + P(B|A^c)*P(A^c)</t>
  </si>
  <si>
    <t>[Key Formulas - Binomial Distribution]</t>
  </si>
  <si>
    <t>* Binomial distribution PMF:            P(X = k) = C(n,k) * p^k * (1-p)^(n-k)</t>
  </si>
  <si>
    <t>* Binomial coefficient:                C(n,k) = n! / (k! * (n-k)!)</t>
  </si>
  <si>
    <t>* Expected value:                   E[X] = n * p</t>
  </si>
  <si>
    <t>* Variance:                     Var(X) = n * p * (1-p)</t>
  </si>
  <si>
    <t>[Color Legend]</t>
  </si>
  <si>
    <t xml:space="preserve">  ■ X data/value</t>
  </si>
  <si>
    <t xml:space="preserve">  ■ Y data/value</t>
  </si>
  <si>
    <t xml:space="preserve">  ■ Probability P(x)</t>
  </si>
  <si>
    <t xml:space="preserve">  ■ Intermediate calculation</t>
  </si>
  <si>
    <t xml:space="preserve">  ■ Result</t>
  </si>
  <si>
    <t xml:space="preserve">  ■ Student input cell</t>
  </si>
  <si>
    <t xml:space="preserve">  ■ Answer</t>
  </si>
  <si>
    <t xml:space="preserve">  ■ Wrong</t>
  </si>
  <si>
    <t>[Description] Expectation and variance measure the center and spread of distributions - key for understanding model uncertainty.</t>
  </si>
  <si>
    <t>Expected Value and Variance</t>
  </si>
  <si>
    <t>Progress:</t>
  </si>
  <si>
    <t>(Biased dice with certain faces appearing more often)</t>
  </si>
  <si>
    <t>x (value)</t>
  </si>
  <si>
    <t>1</t>
  </si>
  <si>
    <t>2</t>
  </si>
  <si>
    <t>3</t>
  </si>
  <si>
    <t>4</t>
  </si>
  <si>
    <t>5</t>
  </si>
  <si>
    <t>6</t>
  </si>
  <si>
    <t>X</t>
  </si>
  <si>
    <t>P(X=x)</t>
  </si>
  <si>
    <t>Probability sum verification:</t>
  </si>
  <si>
    <t>Sum P(x) =</t>
  </si>
  <si>
    <t>(should be = 1)</t>
  </si>
  <si>
    <t>&gt;&gt;&gt; Step 1: Expected value E[X]</t>
  </si>
  <si>
    <t>Formula: E[X] = Sum(x * P(x))</t>
  </si>
  <si>
    <t>x * P(x)</t>
  </si>
  <si>
    <t>1*0.1</t>
  </si>
  <si>
    <t>2*0.1</t>
  </si>
  <si>
    <t>3*0.2</t>
  </si>
  <si>
    <t>4*0.2</t>
  </si>
  <si>
    <t>5*0.2</t>
  </si>
  <si>
    <t>6*0.2</t>
  </si>
  <si>
    <t>E[X] = Total =</t>
  </si>
  <si>
    <t>&gt;&gt;&gt; Step 2: E[X^2]</t>
  </si>
  <si>
    <t>Formula: E[X^2] = Sum(x^2 * P(x))</t>
  </si>
  <si>
    <t>x^2</t>
  </si>
  <si>
    <t>x^2 * P(x)</t>
  </si>
  <si>
    <t>E[X^2] = Total =</t>
  </si>
  <si>
    <t>&gt;&gt;&gt; Step 3: Variance Var(X)</t>
  </si>
  <si>
    <t>Formula: Var(X) = E[X^2] - (E[X])^2</t>
  </si>
  <si>
    <t>(E[X])^2 =</t>
  </si>
  <si>
    <t>Var(X) =</t>
  </si>
  <si>
    <t>E[X^2] - (E[X])^2 =</t>
  </si>
  <si>
    <t>&gt;&gt;&gt; Step 4: Standard deviation</t>
  </si>
  <si>
    <t>Formula: sigma = sqrt(Var(X))</t>
  </si>
  <si>
    <t>sigma =</t>
  </si>
  <si>
    <t>E[X] = 3.90</t>
  </si>
  <si>
    <t>Var(X) = 2.4900</t>
  </si>
  <si>
    <t>sigma = 1.5780</t>
  </si>
  <si>
    <t>[Description] Covariance and correlation measure relationships between variables - essential for feature analysis.</t>
  </si>
  <si>
    <t>Covariance &amp; Correlation</t>
  </si>
  <si>
    <t>i</t>
  </si>
  <si>
    <t>X_i</t>
  </si>
  <si>
    <t>Y_i</t>
  </si>
  <si>
    <t>&gt;&gt;&gt; Step 1: Calculate mean</t>
  </si>
  <si>
    <t>mean_X =</t>
  </si>
  <si>
    <t>Sum(X_i)/n = 30/5 =</t>
  </si>
  <si>
    <t>mean_Y =</t>
  </si>
  <si>
    <t>Sum(Y_i)/n = 22/5 =</t>
  </si>
  <si>
    <t>&gt;&gt;&gt; Step 2: Calculate deviation</t>
  </si>
  <si>
    <t>X_i - mean_X</t>
  </si>
  <si>
    <t>Y_i - mean_Y</t>
  </si>
  <si>
    <t>&gt;&gt;&gt; Step 3: Covariance</t>
  </si>
  <si>
    <t>Formula: Cov(X,Y) = (1/n) * Sum((X_i - mean_X)(Y_i - mean_Y))</t>
  </si>
  <si>
    <t>(X-mean)(Y-mean)</t>
  </si>
  <si>
    <t>Total =</t>
  </si>
  <si>
    <t>Cov(X,Y) =</t>
  </si>
  <si>
    <t>Total / 5 =</t>
  </si>
  <si>
    <t>sigma_X =</t>
  </si>
  <si>
    <t>sqrt(Var(X)) =</t>
  </si>
  <si>
    <t>sigma_Y =</t>
  </si>
  <si>
    <t>sqrt(Var(Y)) =</t>
  </si>
  <si>
    <t>&gt;&gt;&gt; Step 5: Correlation coefficient</t>
  </si>
  <si>
    <t>Formula: rho = Cov(X,Y) / (sigma_X * sigma_Y)</t>
  </si>
  <si>
    <t>rho =</t>
  </si>
  <si>
    <t>rho = 1: Perfect positive correlation</t>
  </si>
  <si>
    <t>rho = 0: No correlation</t>
  </si>
  <si>
    <t>rho = -1: Perfect negative correlation</t>
  </si>
  <si>
    <t>Result: rho = 0.9948 -&gt; Strong positive correlation</t>
  </si>
  <si>
    <t>[Description] Bayes theorem enables updating beliefs with new evidence - foundation for probabilistic ML models.</t>
  </si>
  <si>
    <t>Bayes' Theorem</t>
  </si>
  <si>
    <t>The prevalence of a rare disease is 1%.</t>
  </si>
  <si>
    <t>Sensitivity (positive when disease present): 95%</t>
  </si>
  <si>
    <t>False positive rate (positive when no disease): 5%</t>
  </si>
  <si>
    <t>Question: When the test result is positive,</t>
  </si>
  <si>
    <t xml:space="preserve">      What is the probability of actually having the disease?</t>
  </si>
  <si>
    <t>P(D) = Disease prevalence</t>
  </si>
  <si>
    <t>P(D^c) = Probability of no disease</t>
  </si>
  <si>
    <t>P(+|D) = Sensitivity</t>
  </si>
  <si>
    <t>P(+|D^c) = False positive rate</t>
  </si>
  <si>
    <t>&gt;&gt;&gt; Step 1: Calculate P(+)</t>
  </si>
  <si>
    <t>Law of total probability:</t>
  </si>
  <si>
    <t>P(+) = P(+|D)*P(D) + P(+|D^c)*P(D^c)</t>
  </si>
  <si>
    <t>P(+|D) * P(D) =</t>
  </si>
  <si>
    <t>0.95 * 0.01 =</t>
  </si>
  <si>
    <t>P(+|D^c) * P(D^c) =</t>
  </si>
  <si>
    <t>0.05 * 0.99 =</t>
  </si>
  <si>
    <t>P(+) = Total =</t>
  </si>
  <si>
    <t>&gt;&gt;&gt; Step 2: Bayes' theorem</t>
  </si>
  <si>
    <t>P(D|+) = P(+|D) * P(D) / P(+)</t>
  </si>
  <si>
    <t>P(D|+) =</t>
  </si>
  <si>
    <t>Actual disease probability when positive result:</t>
  </si>
  <si>
    <t>16.1%</t>
  </si>
  <si>
    <t>Surprising result: Even if positive, actual disease probability is only about 16%!</t>
  </si>
  <si>
    <t>Reason:</t>
  </si>
  <si>
    <t>- Many false positives due to low prevalence (1%)</t>
  </si>
  <si>
    <t>- About 5 out of 99 are false positives (4.95)</t>
  </si>
  <si>
    <t>- 0.95 out of 1 are true positives</t>
  </si>
  <si>
    <t>- True positive ratio among positives = 0.95 / (0.95 + 4.95) ~ 16%</t>
  </si>
  <si>
    <t>This is an example of 'Base Rate Fallacy'!</t>
  </si>
  <si>
    <t>[Description] Common probability distributions (Gaussian, Bernoulli, etc.) used in ML for modeling data and noise.</t>
  </si>
  <si>
    <t>Binomial Distribution</t>
  </si>
  <si>
    <t>A coin with 0.3 probability of heads</t>
  </si>
  <si>
    <t>When thrown 10 times,</t>
  </si>
  <si>
    <t>What is the probability of exactly 3 heads?</t>
  </si>
  <si>
    <t>n (number of trials)</t>
  </si>
  <si>
    <t>p (success probability)</t>
  </si>
  <si>
    <t>k (target success count)</t>
  </si>
  <si>
    <t>P(X=k) = C(n,k) * p^k * (1-p)^(n-k)</t>
  </si>
  <si>
    <t>&gt;&gt;&gt; Step 1: Binomial coefficient C(n,k)</t>
  </si>
  <si>
    <t>C(n,k) = n! / (k! * (n-k)!)</t>
  </si>
  <si>
    <t>C(10,3) =</t>
  </si>
  <si>
    <t>10! / (3! * 7!) =</t>
  </si>
  <si>
    <t>&gt;&gt;&gt; Step 2: p^k</t>
  </si>
  <si>
    <t>p^k = 0.3^3 =</t>
  </si>
  <si>
    <t>&gt;&gt;&gt; Step 3: (1-p)^(n-k)</t>
  </si>
  <si>
    <t>(1-p)^(n-k) = 0.7^7 =</t>
  </si>
  <si>
    <t>&gt;&gt;&gt; Step 4: Final probability</t>
  </si>
  <si>
    <t>P(X=3) =</t>
  </si>
  <si>
    <t>C(n,k) * p^k * (1-p)^(n-k) =</t>
  </si>
  <si>
    <t>Expected value E[X] = n*p =</t>
  </si>
  <si>
    <t>10 * 0.3 =</t>
  </si>
  <si>
    <t>Variance Var(X) = n*p*(1-p) =</t>
  </si>
  <si>
    <t>10 * 0.3 * 0.7 =</t>
  </si>
  <si>
    <t>P(X=3) = 0.2668</t>
  </si>
  <si>
    <t>(26.68%)</t>
  </si>
  <si>
    <t>E[X] = 3.0</t>
  </si>
  <si>
    <t>Var(X) = 2.10</t>
  </si>
  <si>
    <t>[Description] Reference solutions for self-checking your calculations.</t>
  </si>
  <si>
    <t>Answer Key - Probability &amp; Statistics</t>
  </si>
  <si>
    <t>E[X]</t>
  </si>
  <si>
    <t>x^2 (reference)</t>
  </si>
  <si>
    <t>E[X^2]</t>
  </si>
  <si>
    <t>(E[X])^2</t>
  </si>
  <si>
    <t>Var(X)</t>
  </si>
  <si>
    <t>sigma</t>
  </si>
  <si>
    <t>mean_X</t>
  </si>
  <si>
    <t>mean_Y</t>
  </si>
  <si>
    <t>Sum</t>
  </si>
  <si>
    <t>Cov(X,Y)</t>
  </si>
  <si>
    <t>sigma_X</t>
  </si>
  <si>
    <t>sigma_Y</t>
  </si>
  <si>
    <t>rho</t>
  </si>
  <si>
    <t>P(+|D)*P(D)</t>
  </si>
  <si>
    <t>P(+|D^c)*P(D^c)</t>
  </si>
  <si>
    <t>P(+)</t>
  </si>
  <si>
    <t>P(D|+)</t>
  </si>
  <si>
    <t>C(n,k)</t>
  </si>
  <si>
    <t>p^k</t>
  </si>
  <si>
    <t>(1-p)^(n-k)</t>
  </si>
  <si>
    <t>P(X=k)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</si>
</sst>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name val="맑은 고딕"/>
      <family val="2"/>
      <charset val="129"/>
    </font>
    <font>
      <i/>
      <sz val="11"/>
      <name val="Calibri"/>
      <family val="2"/>
    </font>
    <font>
      <sz val="11"/>
      <name val="맑은 고딕"/>
      <family val="2"/>
      <charset val="129"/>
    </font>
    <font>
      <b/>
      <sz val="13"/>
      <name val="맑은 고딕"/>
      <family val="2"/>
      <charset val="129"/>
    </font>
    <font>
      <sz val="11"/>
      <name val="Cambria Math"/>
      <family val="1"/>
    </font>
    <font>
      <b/>
      <sz val="11"/>
      <name val="Calibri"/>
      <family val="2"/>
    </font>
    <font>
      <i/>
      <sz val="10"/>
      <name val="Calibri"/>
      <family val="2"/>
    </font>
    <font>
      <b/>
      <sz val="11"/>
      <color rgb="FFFFFFFF"/>
      <name val="맑은 고딕"/>
      <family val="2"/>
      <charset val="129"/>
    </font>
    <font>
      <b/>
      <sz val="12"/>
      <color rgb="FF4472C4"/>
      <name val="맑은 고딕"/>
      <family val="2"/>
      <charset val="129"/>
    </font>
    <font>
      <b/>
      <sz val="12"/>
      <name val="Calibri"/>
      <family val="2"/>
    </font>
    <font>
      <sz val="10"/>
      <name val="Calibri"/>
      <family val="2"/>
    </font>
    <font>
      <i/>
      <sz val="10"/>
      <color rgb="FF505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8CBAD"/>
        <bgColor rgb="FFF8CBAD"/>
      </patternFill>
    </fill>
    <fill>
      <patternFill patternType="solid">
        <fgColor rgb="FFF0F8FF"/>
        <bgColor rgb="FFF0F8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6" fillId="0" borderId="0" xfId="0" applyFont="1"/>
    <xf numFmtId="0" fontId="7" fillId="0" borderId="0" xfId="0" applyFont="1"/>
    <xf numFmtId="0" fontId="8" fillId="10" borderId="0" xfId="0" applyFont="1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0" fontId="0" fillId="11" borderId="0" xfId="0" applyFill="1"/>
    <xf numFmtId="0" fontId="0" fillId="6" borderId="0" xfId="0" applyFill="1"/>
    <xf numFmtId="0" fontId="9" fillId="0" borderId="0" xfId="0" applyFont="1"/>
    <xf numFmtId="0" fontId="0" fillId="7" borderId="2" xfId="0" applyFill="1" applyBorder="1" applyAlignment="1">
      <alignment horizontal="center" vertical="center"/>
    </xf>
    <xf numFmtId="0" fontId="0" fillId="7" borderId="2" xfId="0" applyFill="1" applyBorder="1"/>
    <xf numFmtId="0" fontId="0" fillId="5" borderId="0" xfId="0" applyFill="1"/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0" xfId="0" applyFill="1"/>
    <xf numFmtId="0" fontId="10" fillId="0" borderId="0" xfId="0" applyFont="1"/>
    <xf numFmtId="0" fontId="11" fillId="0" borderId="0" xfId="0" applyFont="1"/>
    <xf numFmtId="0" fontId="12" fillId="13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10"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selection sqref="A1:E1"/>
    </sheetView>
  </sheetViews>
  <sheetFormatPr baseColWidth="10" defaultColWidth="8.83203125" defaultRowHeight="15"/>
  <cols>
    <col min="1" max="1" width="85" customWidth="1"/>
    <col min="2" max="2" width="5" customWidth="1"/>
  </cols>
  <sheetData>
    <row r="1" spans="1:5">
      <c r="A1" s="33" t="s">
        <v>0</v>
      </c>
      <c r="B1" s="34"/>
      <c r="C1" s="34"/>
      <c r="D1" s="34"/>
      <c r="E1" s="34"/>
    </row>
    <row r="2" spans="1:5" ht="23">
      <c r="A2" s="1" t="s">
        <v>1</v>
      </c>
    </row>
    <row r="4" spans="1:5">
      <c r="A4" s="2" t="s">
        <v>2</v>
      </c>
    </row>
    <row r="5" spans="1:5" ht="17">
      <c r="A5" s="3"/>
    </row>
    <row r="7" spans="1:5" ht="19">
      <c r="A7" s="4" t="s">
        <v>3</v>
      </c>
    </row>
    <row r="8" spans="1:5" ht="17">
      <c r="A8" s="3" t="s">
        <v>4</v>
      </c>
    </row>
    <row r="9" spans="1:5" ht="17">
      <c r="A9" s="3" t="s">
        <v>5</v>
      </c>
    </row>
    <row r="10" spans="1:5" ht="17">
      <c r="A10" s="3" t="s">
        <v>6</v>
      </c>
    </row>
    <row r="11" spans="1:5" ht="17">
      <c r="A11" s="3" t="s">
        <v>7</v>
      </c>
    </row>
    <row r="12" spans="1:5" ht="17">
      <c r="A12" s="3" t="s">
        <v>8</v>
      </c>
    </row>
    <row r="14" spans="1:5" ht="19">
      <c r="A14" s="4" t="s">
        <v>9</v>
      </c>
    </row>
    <row r="15" spans="1:5">
      <c r="A15" s="5" t="s">
        <v>10</v>
      </c>
    </row>
    <row r="16" spans="1:5">
      <c r="A16" s="5" t="s">
        <v>11</v>
      </c>
    </row>
    <row r="17" spans="1:1">
      <c r="A17" s="5" t="s">
        <v>12</v>
      </c>
    </row>
    <row r="18" spans="1:1">
      <c r="A18" s="5" t="s">
        <v>13</v>
      </c>
    </row>
    <row r="20" spans="1:1" ht="19">
      <c r="A20" s="4" t="s">
        <v>14</v>
      </c>
    </row>
    <row r="21" spans="1:1">
      <c r="A21" s="5" t="s">
        <v>15</v>
      </c>
    </row>
    <row r="22" spans="1:1">
      <c r="A22" s="5" t="s">
        <v>16</v>
      </c>
    </row>
    <row r="23" spans="1:1">
      <c r="A23" s="5" t="s">
        <v>17</v>
      </c>
    </row>
    <row r="24" spans="1:1">
      <c r="A24" s="5" t="s">
        <v>18</v>
      </c>
    </row>
    <row r="26" spans="1:1" ht="19">
      <c r="A26" s="4" t="s">
        <v>19</v>
      </c>
    </row>
    <row r="27" spans="1:1">
      <c r="A27" s="5" t="s">
        <v>20</v>
      </c>
    </row>
    <row r="28" spans="1:1">
      <c r="A28" s="5" t="s">
        <v>21</v>
      </c>
    </row>
    <row r="29" spans="1:1">
      <c r="A29" s="5" t="s">
        <v>22</v>
      </c>
    </row>
    <row r="31" spans="1:1" ht="19">
      <c r="A31" s="4" t="s">
        <v>23</v>
      </c>
    </row>
    <row r="32" spans="1:1">
      <c r="A32" s="5" t="s">
        <v>24</v>
      </c>
    </row>
    <row r="33" spans="1:2">
      <c r="A33" s="5" t="s">
        <v>25</v>
      </c>
    </row>
    <row r="34" spans="1:2">
      <c r="A34" s="5" t="s">
        <v>26</v>
      </c>
    </row>
    <row r="35" spans="1:2">
      <c r="A35" s="5" t="s">
        <v>27</v>
      </c>
    </row>
    <row r="37" spans="1:2" ht="19">
      <c r="A37" s="4" t="s">
        <v>28</v>
      </c>
    </row>
    <row r="38" spans="1:2" ht="17">
      <c r="A38" s="3" t="s">
        <v>29</v>
      </c>
      <c r="B38" s="6"/>
    </row>
    <row r="39" spans="1:2" ht="17">
      <c r="A39" s="3" t="s">
        <v>30</v>
      </c>
      <c r="B39" s="7"/>
    </row>
    <row r="40" spans="1:2" ht="17">
      <c r="A40" s="3" t="s">
        <v>31</v>
      </c>
      <c r="B40" s="8"/>
    </row>
    <row r="41" spans="1:2" ht="17">
      <c r="A41" s="3" t="s">
        <v>32</v>
      </c>
      <c r="B41" s="9"/>
    </row>
    <row r="42" spans="1:2" ht="17">
      <c r="A42" s="3" t="s">
        <v>33</v>
      </c>
      <c r="B42" s="10"/>
    </row>
    <row r="43" spans="1:2" ht="17">
      <c r="A43" s="3" t="s">
        <v>34</v>
      </c>
      <c r="B43" s="11"/>
    </row>
    <row r="44" spans="1:2" ht="17">
      <c r="A44" s="3" t="s">
        <v>35</v>
      </c>
      <c r="B44" s="12"/>
    </row>
    <row r="45" spans="1:2" ht="17">
      <c r="A45" s="3" t="s">
        <v>36</v>
      </c>
      <c r="B45" s="13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H41" sqref="H41"/>
    </sheetView>
  </sheetViews>
  <sheetFormatPr baseColWidth="10" defaultColWidth="8.83203125" defaultRowHeight="15"/>
  <cols>
    <col min="1" max="1" width="18" customWidth="1"/>
    <col min="2" max="2" width="12" customWidth="1"/>
    <col min="3" max="14" width="10" customWidth="1"/>
  </cols>
  <sheetData>
    <row r="1" spans="1:9">
      <c r="A1" s="33" t="s">
        <v>37</v>
      </c>
      <c r="B1" s="34"/>
      <c r="C1" s="34"/>
      <c r="D1" s="34"/>
      <c r="E1" s="34"/>
      <c r="F1" s="34"/>
      <c r="G1" s="34"/>
      <c r="H1" s="34"/>
      <c r="I1" s="34"/>
    </row>
    <row r="2" spans="1:9" ht="23">
      <c r="A2" s="1" t="s">
        <v>38</v>
      </c>
    </row>
    <row r="4" spans="1:9">
      <c r="A4" s="14" t="s">
        <v>39</v>
      </c>
      <c r="B4" t="str">
        <f>COUNTIF(I:I,"V")/10*100&amp;"%"</f>
        <v>0%</v>
      </c>
    </row>
    <row r="6" spans="1:9" ht="19">
      <c r="A6" s="4"/>
    </row>
    <row r="7" spans="1:9">
      <c r="A7" s="15" t="s">
        <v>40</v>
      </c>
    </row>
    <row r="9" spans="1:9" ht="17">
      <c r="A9" s="16" t="s">
        <v>41</v>
      </c>
      <c r="B9" s="16" t="s">
        <v>42</v>
      </c>
      <c r="C9" s="16" t="s">
        <v>43</v>
      </c>
      <c r="D9" s="16" t="s">
        <v>44</v>
      </c>
      <c r="E9" s="16" t="s">
        <v>45</v>
      </c>
      <c r="F9" s="16" t="s">
        <v>46</v>
      </c>
      <c r="G9" s="16" t="s">
        <v>47</v>
      </c>
    </row>
    <row r="10" spans="1:9">
      <c r="A10" s="17" t="s">
        <v>48</v>
      </c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18">
        <v>6</v>
      </c>
    </row>
    <row r="11" spans="1:9">
      <c r="A11" s="19" t="s">
        <v>49</v>
      </c>
      <c r="B11" s="20">
        <v>0.1</v>
      </c>
      <c r="C11" s="20">
        <v>0.1</v>
      </c>
      <c r="D11" s="20">
        <v>0.2</v>
      </c>
      <c r="E11" s="20">
        <v>0.2</v>
      </c>
      <c r="F11" s="20">
        <v>0.2</v>
      </c>
      <c r="G11" s="20">
        <v>0.2</v>
      </c>
    </row>
    <row r="13" spans="1:9">
      <c r="A13" t="s">
        <v>50</v>
      </c>
      <c r="B13" s="21" t="s">
        <v>51</v>
      </c>
      <c r="D13" s="22">
        <v>1</v>
      </c>
      <c r="E13" s="15" t="s">
        <v>52</v>
      </c>
    </row>
    <row r="15" spans="1:9" ht="18">
      <c r="A15" s="23" t="s">
        <v>53</v>
      </c>
    </row>
    <row r="16" spans="1:9">
      <c r="A16" s="21" t="s">
        <v>54</v>
      </c>
    </row>
    <row r="18" spans="1:7">
      <c r="A18" s="14" t="s">
        <v>55</v>
      </c>
      <c r="B18" s="21" t="s">
        <v>56</v>
      </c>
      <c r="C18" s="21" t="s">
        <v>57</v>
      </c>
      <c r="D18" s="21" t="s">
        <v>58</v>
      </c>
      <c r="E18" s="21" t="s">
        <v>59</v>
      </c>
      <c r="F18" s="21" t="s">
        <v>60</v>
      </c>
      <c r="G18" s="21" t="s">
        <v>61</v>
      </c>
    </row>
    <row r="19" spans="1:7">
      <c r="A19" s="14"/>
      <c r="B19" s="24"/>
      <c r="C19" s="24"/>
      <c r="D19" s="24"/>
      <c r="E19" s="24"/>
      <c r="F19" s="24"/>
      <c r="G19" s="24"/>
    </row>
    <row r="21" spans="1:7">
      <c r="A21" s="14" t="s">
        <v>62</v>
      </c>
      <c r="C21" s="25"/>
    </row>
    <row r="23" spans="1:7" ht="18">
      <c r="A23" s="23" t="s">
        <v>63</v>
      </c>
    </row>
    <row r="24" spans="1:7">
      <c r="A24" s="21" t="s">
        <v>64</v>
      </c>
    </row>
    <row r="26" spans="1:7">
      <c r="A26" s="14" t="s">
        <v>65</v>
      </c>
      <c r="B26" s="26">
        <v>1</v>
      </c>
      <c r="C26" s="26">
        <v>4</v>
      </c>
      <c r="D26" s="26">
        <v>9</v>
      </c>
      <c r="E26" s="26">
        <v>16</v>
      </c>
      <c r="F26" s="26">
        <v>25</v>
      </c>
      <c r="G26" s="26">
        <v>36</v>
      </c>
    </row>
    <row r="27" spans="1:7">
      <c r="A27" s="14" t="s">
        <v>66</v>
      </c>
      <c r="B27" s="24"/>
      <c r="C27" s="24"/>
      <c r="D27" s="24"/>
      <c r="E27" s="24"/>
      <c r="F27" s="24"/>
      <c r="G27" s="24"/>
    </row>
    <row r="29" spans="1:7">
      <c r="A29" s="14" t="s">
        <v>67</v>
      </c>
      <c r="C29" s="25"/>
    </row>
    <row r="31" spans="1:7" ht="18">
      <c r="A31" s="23" t="s">
        <v>68</v>
      </c>
    </row>
    <row r="32" spans="1:7">
      <c r="A32" s="21" t="s">
        <v>69</v>
      </c>
    </row>
    <row r="34" spans="1:5">
      <c r="A34" t="s">
        <v>70</v>
      </c>
      <c r="C34" s="25"/>
    </row>
    <row r="35" spans="1:5">
      <c r="A35" s="14" t="s">
        <v>71</v>
      </c>
      <c r="B35" s="21" t="s">
        <v>72</v>
      </c>
      <c r="E35" s="25"/>
    </row>
    <row r="37" spans="1:5" ht="18">
      <c r="A37" s="23" t="s">
        <v>73</v>
      </c>
    </row>
    <row r="38" spans="1:5">
      <c r="A38" s="21" t="s">
        <v>74</v>
      </c>
    </row>
    <row r="40" spans="1:5">
      <c r="A40" s="14" t="s">
        <v>75</v>
      </c>
      <c r="C40" s="25"/>
    </row>
    <row r="42" spans="1:5" ht="19">
      <c r="A42" s="4"/>
    </row>
    <row r="43" spans="1:5">
      <c r="A43" s="22" t="s">
        <v>76</v>
      </c>
    </row>
    <row r="44" spans="1:5">
      <c r="A44" s="22" t="s">
        <v>77</v>
      </c>
    </row>
    <row r="45" spans="1:5">
      <c r="A45" s="22" t="s">
        <v>78</v>
      </c>
    </row>
  </sheetData>
  <mergeCells count="1">
    <mergeCell ref="A1:I1"/>
  </mergeCells>
  <conditionalFormatting sqref="E1:I26 E28:I100 F27:I27">
    <cfRule type="expression" dxfId="9" priority="1">
      <formula>I1="V"</formula>
    </cfRule>
    <cfRule type="expression" dxfId="8" priority="2">
      <formula>I1="X"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selection activeCell="G36" sqref="G36"/>
    </sheetView>
  </sheetViews>
  <sheetFormatPr baseColWidth="10" defaultColWidth="8.83203125" defaultRowHeight="15"/>
  <cols>
    <col min="1" max="1" width="18" customWidth="1"/>
    <col min="2" max="14" width="10" customWidth="1"/>
  </cols>
  <sheetData>
    <row r="1" spans="1:8">
      <c r="A1" s="33" t="s">
        <v>79</v>
      </c>
      <c r="B1" s="34"/>
      <c r="C1" s="34"/>
      <c r="D1" s="34"/>
      <c r="E1" s="34"/>
      <c r="F1" s="34"/>
      <c r="G1" s="34"/>
      <c r="H1" s="34"/>
    </row>
    <row r="2" spans="1:8" ht="23">
      <c r="A2" s="1" t="s">
        <v>80</v>
      </c>
    </row>
    <row r="4" spans="1:8">
      <c r="A4" s="14" t="s">
        <v>39</v>
      </c>
      <c r="B4" t="str">
        <f>COUNTIF(H:H,"V")/8*100&amp;"%"</f>
        <v>0%</v>
      </c>
    </row>
    <row r="6" spans="1:8" ht="19">
      <c r="A6" s="4"/>
    </row>
    <row r="8" spans="1:8" ht="17">
      <c r="A8" s="16" t="s">
        <v>81</v>
      </c>
      <c r="B8" s="16" t="s">
        <v>42</v>
      </c>
      <c r="C8" s="16" t="s">
        <v>43</v>
      </c>
      <c r="D8" s="16" t="s">
        <v>44</v>
      </c>
      <c r="E8" s="16" t="s">
        <v>45</v>
      </c>
      <c r="F8" s="16" t="s">
        <v>46</v>
      </c>
    </row>
    <row r="9" spans="1:8">
      <c r="A9" s="17" t="s">
        <v>82</v>
      </c>
      <c r="B9" s="18">
        <v>2</v>
      </c>
      <c r="C9" s="18">
        <v>4</v>
      </c>
      <c r="D9" s="18">
        <v>6</v>
      </c>
      <c r="E9" s="18">
        <v>8</v>
      </c>
      <c r="F9" s="18">
        <v>10</v>
      </c>
    </row>
    <row r="10" spans="1:8">
      <c r="A10" s="27" t="s">
        <v>83</v>
      </c>
      <c r="B10" s="28">
        <v>1</v>
      </c>
      <c r="C10" s="28">
        <v>3</v>
      </c>
      <c r="D10" s="28">
        <v>4</v>
      </c>
      <c r="E10" s="28">
        <v>6</v>
      </c>
      <c r="F10" s="28">
        <v>8</v>
      </c>
    </row>
    <row r="12" spans="1:8" ht="18">
      <c r="A12" s="23" t="s">
        <v>84</v>
      </c>
    </row>
    <row r="13" spans="1:8">
      <c r="A13" t="s">
        <v>85</v>
      </c>
      <c r="B13" s="21" t="s">
        <v>86</v>
      </c>
      <c r="E13" s="25"/>
    </row>
    <row r="14" spans="1:8">
      <c r="A14" t="s">
        <v>87</v>
      </c>
      <c r="B14" s="21" t="s">
        <v>88</v>
      </c>
      <c r="E14" s="25"/>
    </row>
    <row r="16" spans="1:8" ht="18">
      <c r="A16" s="23" t="s">
        <v>89</v>
      </c>
    </row>
    <row r="17" spans="1:6">
      <c r="A17" s="26" t="s">
        <v>90</v>
      </c>
      <c r="B17" s="29">
        <v>-4</v>
      </c>
      <c r="C17" s="29">
        <v>-2</v>
      </c>
      <c r="D17" s="29">
        <v>0</v>
      </c>
      <c r="E17" s="29">
        <v>2</v>
      </c>
      <c r="F17" s="29">
        <v>4</v>
      </c>
    </row>
    <row r="18" spans="1:6">
      <c r="A18" s="26" t="s">
        <v>91</v>
      </c>
      <c r="B18" s="29">
        <v>-3.4</v>
      </c>
      <c r="C18" s="29">
        <v>-1.4</v>
      </c>
      <c r="D18" s="29">
        <v>-0.4</v>
      </c>
      <c r="E18" s="29">
        <v>1.6</v>
      </c>
      <c r="F18" s="29">
        <v>3.6</v>
      </c>
    </row>
    <row r="20" spans="1:6" ht="18">
      <c r="A20" s="23" t="s">
        <v>92</v>
      </c>
    </row>
    <row r="21" spans="1:6">
      <c r="A21" s="21" t="s">
        <v>93</v>
      </c>
    </row>
    <row r="23" spans="1:6">
      <c r="A23" s="14" t="s">
        <v>94</v>
      </c>
      <c r="B23" s="24"/>
      <c r="C23" s="24"/>
      <c r="D23" s="24"/>
      <c r="E23" s="24"/>
      <c r="F23" s="24"/>
    </row>
    <row r="25" spans="1:6">
      <c r="A25" t="s">
        <v>95</v>
      </c>
      <c r="C25" s="25"/>
    </row>
    <row r="26" spans="1:6">
      <c r="A26" s="14" t="s">
        <v>96</v>
      </c>
      <c r="B26" s="21" t="s">
        <v>97</v>
      </c>
      <c r="D26" s="25"/>
    </row>
    <row r="28" spans="1:6" ht="18">
      <c r="A28" s="23" t="s">
        <v>73</v>
      </c>
    </row>
    <row r="29" spans="1:6">
      <c r="A29" t="s">
        <v>98</v>
      </c>
      <c r="B29" s="21" t="s">
        <v>99</v>
      </c>
      <c r="D29" s="25"/>
    </row>
    <row r="30" spans="1:6">
      <c r="A30" t="s">
        <v>100</v>
      </c>
      <c r="B30" s="21" t="s">
        <v>101</v>
      </c>
      <c r="D30" s="25"/>
    </row>
    <row r="32" spans="1:6" ht="18">
      <c r="A32" s="23" t="s">
        <v>102</v>
      </c>
    </row>
    <row r="33" spans="1:3">
      <c r="A33" s="21" t="s">
        <v>103</v>
      </c>
    </row>
    <row r="35" spans="1:3">
      <c r="A35" s="14" t="s">
        <v>104</v>
      </c>
      <c r="C35" s="25"/>
    </row>
    <row r="37" spans="1:3" ht="19">
      <c r="A37" s="4"/>
    </row>
    <row r="38" spans="1:3">
      <c r="A38" s="21" t="s">
        <v>105</v>
      </c>
    </row>
    <row r="39" spans="1:3">
      <c r="A39" s="21" t="s">
        <v>106</v>
      </c>
    </row>
    <row r="40" spans="1:3">
      <c r="A40" s="21" t="s">
        <v>107</v>
      </c>
    </row>
    <row r="42" spans="1:3">
      <c r="A42" s="22" t="s">
        <v>108</v>
      </c>
    </row>
  </sheetData>
  <mergeCells count="1">
    <mergeCell ref="A1:H1"/>
  </mergeCells>
  <conditionalFormatting sqref="E1:H22 E24:H100 F23:H23">
    <cfRule type="expression" dxfId="7" priority="1">
      <formula>H1="V"</formula>
    </cfRule>
    <cfRule type="expression" dxfId="6" priority="2">
      <formula>H1="X"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>
      <selection activeCell="E39" sqref="E39"/>
    </sheetView>
  </sheetViews>
  <sheetFormatPr baseColWidth="10" defaultColWidth="8.83203125" defaultRowHeight="15"/>
  <cols>
    <col min="1" max="1" width="25" customWidth="1"/>
    <col min="2" max="11" width="12" customWidth="1"/>
  </cols>
  <sheetData>
    <row r="1" spans="1:5">
      <c r="A1" s="33" t="s">
        <v>109</v>
      </c>
      <c r="B1" s="34"/>
      <c r="C1" s="34"/>
      <c r="D1" s="34"/>
      <c r="E1" s="34"/>
    </row>
    <row r="2" spans="1:5" ht="23">
      <c r="A2" s="1" t="s">
        <v>110</v>
      </c>
    </row>
    <row r="4" spans="1:5">
      <c r="A4" s="14" t="s">
        <v>39</v>
      </c>
      <c r="B4" t="str">
        <f>COUNTIF(E:E,"V")/5*100&amp;"%"</f>
        <v>0%</v>
      </c>
    </row>
    <row r="6" spans="1:5" ht="19">
      <c r="A6" s="4"/>
    </row>
    <row r="8" spans="1:5" ht="17">
      <c r="A8" s="3" t="s">
        <v>111</v>
      </c>
    </row>
    <row r="9" spans="1:5" ht="17">
      <c r="A9" s="3" t="s">
        <v>112</v>
      </c>
    </row>
    <row r="10" spans="1:5" ht="17">
      <c r="A10" s="3" t="s">
        <v>113</v>
      </c>
    </row>
    <row r="11" spans="1:5" ht="17">
      <c r="A11" s="3"/>
    </row>
    <row r="12" spans="1:5" ht="17">
      <c r="A12" s="3" t="s">
        <v>114</v>
      </c>
    </row>
    <row r="13" spans="1:5" ht="17">
      <c r="A13" s="3" t="s">
        <v>115</v>
      </c>
    </row>
    <row r="15" spans="1:5" ht="19">
      <c r="A15" s="4"/>
    </row>
    <row r="16" spans="1:5">
      <c r="A16" s="30" t="s">
        <v>116</v>
      </c>
      <c r="C16" s="30">
        <v>0.01</v>
      </c>
    </row>
    <row r="17" spans="1:4">
      <c r="A17" s="21" t="s">
        <v>117</v>
      </c>
      <c r="C17" s="21">
        <v>0.99</v>
      </c>
    </row>
    <row r="18" spans="1:4">
      <c r="A18" s="30" t="s">
        <v>118</v>
      </c>
      <c r="C18" s="30">
        <v>0.95</v>
      </c>
    </row>
    <row r="19" spans="1:4">
      <c r="A19" s="30" t="s">
        <v>119</v>
      </c>
      <c r="C19" s="30">
        <v>0.05</v>
      </c>
    </row>
    <row r="21" spans="1:4" ht="18">
      <c r="A21" s="23" t="s">
        <v>120</v>
      </c>
    </row>
    <row r="22" spans="1:4">
      <c r="A22" s="21" t="s">
        <v>121</v>
      </c>
    </row>
    <row r="23" spans="1:4">
      <c r="A23" s="21" t="s">
        <v>122</v>
      </c>
    </row>
    <row r="25" spans="1:4">
      <c r="A25" t="s">
        <v>123</v>
      </c>
      <c r="B25" s="21" t="s">
        <v>124</v>
      </c>
      <c r="D25" s="25"/>
    </row>
    <row r="26" spans="1:4">
      <c r="A26" t="s">
        <v>125</v>
      </c>
      <c r="B26" s="21" t="s">
        <v>126</v>
      </c>
      <c r="D26" s="25"/>
    </row>
    <row r="28" spans="1:4">
      <c r="A28" s="14" t="s">
        <v>127</v>
      </c>
      <c r="C28" s="25"/>
    </row>
    <row r="30" spans="1:4" ht="18">
      <c r="A30" s="23" t="s">
        <v>128</v>
      </c>
    </row>
    <row r="31" spans="1:4">
      <c r="A31" s="21" t="s">
        <v>129</v>
      </c>
    </row>
    <row r="33" spans="1:4" ht="16">
      <c r="A33" s="31" t="s">
        <v>130</v>
      </c>
      <c r="C33" s="25"/>
    </row>
    <row r="35" spans="1:4" ht="19">
      <c r="A35" s="4"/>
    </row>
    <row r="36" spans="1:4">
      <c r="A36" s="22" t="s">
        <v>131</v>
      </c>
      <c r="D36" s="22" t="s">
        <v>132</v>
      </c>
    </row>
    <row r="38" spans="1:4">
      <c r="A38" s="32" t="s">
        <v>133</v>
      </c>
    </row>
    <row r="39" spans="1:4">
      <c r="A39" s="32"/>
    </row>
    <row r="40" spans="1:4">
      <c r="A40" s="32" t="s">
        <v>134</v>
      </c>
    </row>
    <row r="41" spans="1:4">
      <c r="A41" s="32" t="s">
        <v>135</v>
      </c>
    </row>
    <row r="42" spans="1:4">
      <c r="A42" s="32" t="s">
        <v>136</v>
      </c>
    </row>
    <row r="43" spans="1:4">
      <c r="A43" s="32" t="s">
        <v>137</v>
      </c>
    </row>
    <row r="44" spans="1:4">
      <c r="A44" s="32" t="s">
        <v>138</v>
      </c>
    </row>
    <row r="45" spans="1:4">
      <c r="A45" s="32"/>
    </row>
    <row r="46" spans="1:4">
      <c r="A46" s="32" t="s">
        <v>139</v>
      </c>
    </row>
  </sheetData>
  <mergeCells count="1">
    <mergeCell ref="A1:E1"/>
  </mergeCells>
  <conditionalFormatting sqref="E1:E100">
    <cfRule type="expression" dxfId="5" priority="1">
      <formula>E1="V"</formula>
    </cfRule>
    <cfRule type="expression" dxfId="4" priority="2">
      <formula>E1="X"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tabSelected="1" workbookViewId="0">
      <selection activeCell="G21" sqref="G21"/>
    </sheetView>
  </sheetViews>
  <sheetFormatPr baseColWidth="10" defaultColWidth="8.83203125" defaultRowHeight="15"/>
  <cols>
    <col min="1" max="1" width="22" customWidth="1"/>
    <col min="2" max="11" width="12" customWidth="1"/>
  </cols>
  <sheetData>
    <row r="1" spans="1:6">
      <c r="A1" s="33" t="s">
        <v>140</v>
      </c>
      <c r="B1" s="34"/>
      <c r="C1" s="34"/>
      <c r="D1" s="34"/>
      <c r="E1" s="34"/>
      <c r="F1" s="34"/>
    </row>
    <row r="2" spans="1:6" ht="23">
      <c r="A2" s="1" t="s">
        <v>141</v>
      </c>
    </row>
    <row r="4" spans="1:6">
      <c r="A4" s="14" t="s">
        <v>39</v>
      </c>
      <c r="B4" t="str">
        <f>COUNTIF(E:E,"V")/6*100&amp;"%"</f>
        <v>0%</v>
      </c>
    </row>
    <row r="6" spans="1:6" ht="19">
      <c r="A6" s="4"/>
    </row>
    <row r="8" spans="1:6" ht="17">
      <c r="A8" s="3" t="s">
        <v>142</v>
      </c>
    </row>
    <row r="9" spans="1:6" ht="17">
      <c r="A9" s="3" t="s">
        <v>143</v>
      </c>
    </row>
    <row r="10" spans="1:6" ht="17">
      <c r="A10" s="3" t="s">
        <v>144</v>
      </c>
    </row>
    <row r="12" spans="1:6" ht="19">
      <c r="A12" s="4"/>
    </row>
    <row r="13" spans="1:6">
      <c r="A13" s="17" t="s">
        <v>145</v>
      </c>
      <c r="B13" s="17">
        <v>10</v>
      </c>
    </row>
    <row r="14" spans="1:6">
      <c r="A14" s="17" t="s">
        <v>146</v>
      </c>
      <c r="B14" s="17">
        <v>0.3</v>
      </c>
    </row>
    <row r="15" spans="1:6">
      <c r="A15" s="17" t="s">
        <v>147</v>
      </c>
      <c r="B15" s="17">
        <v>3</v>
      </c>
    </row>
    <row r="17" spans="1:5" ht="19">
      <c r="A17" s="4"/>
    </row>
    <row r="18" spans="1:5">
      <c r="A18" s="21" t="s">
        <v>148</v>
      </c>
    </row>
    <row r="20" spans="1:5" ht="18">
      <c r="A20" s="23" t="s">
        <v>149</v>
      </c>
    </row>
    <row r="21" spans="1:5">
      <c r="A21" s="21" t="s">
        <v>150</v>
      </c>
    </row>
    <row r="22" spans="1:5">
      <c r="A22" t="s">
        <v>151</v>
      </c>
      <c r="B22" s="21" t="s">
        <v>152</v>
      </c>
      <c r="E22" s="25"/>
    </row>
    <row r="24" spans="1:5" ht="18">
      <c r="A24" s="23" t="s">
        <v>153</v>
      </c>
    </row>
    <row r="25" spans="1:5">
      <c r="A25" t="s">
        <v>154</v>
      </c>
      <c r="C25" s="25"/>
    </row>
    <row r="27" spans="1:5" ht="18">
      <c r="A27" s="23" t="s">
        <v>155</v>
      </c>
    </row>
    <row r="28" spans="1:5">
      <c r="A28" t="s">
        <v>156</v>
      </c>
      <c r="D28" s="25"/>
    </row>
    <row r="30" spans="1:5" ht="18">
      <c r="A30" s="23" t="s">
        <v>157</v>
      </c>
    </row>
    <row r="31" spans="1:5" ht="16">
      <c r="A31" s="31" t="s">
        <v>158</v>
      </c>
      <c r="B31" s="21" t="s">
        <v>159</v>
      </c>
      <c r="E31" s="25"/>
    </row>
    <row r="33" spans="1:5" ht="19">
      <c r="A33" s="4"/>
    </row>
    <row r="34" spans="1:5">
      <c r="A34" t="s">
        <v>160</v>
      </c>
      <c r="C34" s="21" t="s">
        <v>161</v>
      </c>
      <c r="E34" s="25"/>
    </row>
    <row r="35" spans="1:5">
      <c r="A35" t="s">
        <v>162</v>
      </c>
      <c r="C35" s="21" t="s">
        <v>163</v>
      </c>
      <c r="E35" s="25"/>
    </row>
    <row r="37" spans="1:5" ht="19">
      <c r="A37" s="4"/>
    </row>
    <row r="38" spans="1:5">
      <c r="A38" s="22" t="s">
        <v>164</v>
      </c>
      <c r="C38" s="22" t="s">
        <v>165</v>
      </c>
    </row>
    <row r="39" spans="1:5">
      <c r="A39" s="22" t="s">
        <v>166</v>
      </c>
    </row>
    <row r="40" spans="1:5">
      <c r="A40" s="22" t="s">
        <v>167</v>
      </c>
    </row>
  </sheetData>
  <mergeCells count="1">
    <mergeCell ref="A1:F1"/>
  </mergeCells>
  <conditionalFormatting sqref="E1:E100">
    <cfRule type="expression" dxfId="3" priority="1">
      <formula>E1="V"</formula>
    </cfRule>
    <cfRule type="expression" dxfId="2" priority="2">
      <formula>E1="X"</formula>
    </cfRule>
  </conditionalFormatting>
  <conditionalFormatting sqref="F1:F100">
    <cfRule type="expression" dxfId="1" priority="3">
      <formula>E1="V"</formula>
    </cfRule>
    <cfRule type="expression" dxfId="0" priority="3">
      <formula>E1="X"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/>
  </sheetViews>
  <sheetFormatPr baseColWidth="10" defaultColWidth="8.83203125" defaultRowHeight="15"/>
  <cols>
    <col min="1" max="1" width="25" customWidth="1"/>
    <col min="2" max="7" width="10" customWidth="1"/>
  </cols>
  <sheetData>
    <row r="1" spans="1:7">
      <c r="A1" s="33" t="s">
        <v>168</v>
      </c>
      <c r="B1" s="34"/>
      <c r="C1" s="34"/>
      <c r="D1" s="34"/>
      <c r="E1" s="34"/>
      <c r="F1" s="34"/>
      <c r="G1" s="34"/>
    </row>
    <row r="2" spans="1:7" ht="23">
      <c r="A2" s="1" t="s">
        <v>169</v>
      </c>
    </row>
    <row r="4" spans="1:7" ht="19">
      <c r="A4" s="4"/>
    </row>
    <row r="5" spans="1:7">
      <c r="A5" t="s">
        <v>55</v>
      </c>
      <c r="B5">
        <v>0.1</v>
      </c>
      <c r="C5">
        <v>0.2</v>
      </c>
      <c r="D5">
        <v>0.6</v>
      </c>
      <c r="E5">
        <v>0.8</v>
      </c>
      <c r="F5">
        <v>1</v>
      </c>
      <c r="G5">
        <v>1.2</v>
      </c>
    </row>
    <row r="7" spans="1:7">
      <c r="A7" t="s">
        <v>170</v>
      </c>
      <c r="B7">
        <v>3.9</v>
      </c>
    </row>
    <row r="9" spans="1:7">
      <c r="A9" t="s">
        <v>171</v>
      </c>
      <c r="B9">
        <v>1</v>
      </c>
      <c r="C9">
        <v>4</v>
      </c>
      <c r="D9">
        <v>9</v>
      </c>
      <c r="E9">
        <v>16</v>
      </c>
      <c r="F9">
        <v>25</v>
      </c>
      <c r="G9">
        <v>36</v>
      </c>
    </row>
    <row r="10" spans="1:7">
      <c r="A10" t="s">
        <v>66</v>
      </c>
      <c r="B10">
        <v>0.1</v>
      </c>
      <c r="C10">
        <v>0.4</v>
      </c>
      <c r="D10">
        <v>1.8</v>
      </c>
      <c r="E10">
        <v>3.2</v>
      </c>
      <c r="F10">
        <v>5</v>
      </c>
      <c r="G10">
        <v>7.2</v>
      </c>
    </row>
    <row r="12" spans="1:7">
      <c r="A12" t="s">
        <v>172</v>
      </c>
      <c r="B12">
        <v>17.7</v>
      </c>
    </row>
    <row r="14" spans="1:7">
      <c r="A14" t="s">
        <v>173</v>
      </c>
      <c r="B14">
        <v>15.21</v>
      </c>
    </row>
    <row r="15" spans="1:7">
      <c r="A15" t="s">
        <v>174</v>
      </c>
      <c r="B15">
        <v>2.4900000000000002</v>
      </c>
    </row>
    <row r="17" spans="1:6">
      <c r="A17" t="s">
        <v>175</v>
      </c>
      <c r="B17">
        <v>1.5780000000000001</v>
      </c>
    </row>
    <row r="20" spans="1:6" ht="19">
      <c r="A20" s="4"/>
    </row>
    <row r="21" spans="1:6">
      <c r="A21" t="s">
        <v>176</v>
      </c>
      <c r="B21">
        <v>6</v>
      </c>
    </row>
    <row r="22" spans="1:6">
      <c r="A22" t="s">
        <v>177</v>
      </c>
      <c r="B22">
        <v>4.4000000000000004</v>
      </c>
    </row>
    <row r="25" spans="1:6">
      <c r="A25" t="s">
        <v>94</v>
      </c>
      <c r="B25">
        <v>13.6</v>
      </c>
      <c r="C25">
        <v>2.8</v>
      </c>
      <c r="D25">
        <v>0</v>
      </c>
      <c r="E25">
        <v>3.2</v>
      </c>
      <c r="F25">
        <v>14.4</v>
      </c>
    </row>
    <row r="27" spans="1:6">
      <c r="A27" t="s">
        <v>178</v>
      </c>
      <c r="B27">
        <v>34</v>
      </c>
    </row>
    <row r="28" spans="1:6">
      <c r="A28" t="s">
        <v>179</v>
      </c>
      <c r="B28">
        <v>6.8</v>
      </c>
    </row>
    <row r="30" spans="1:6">
      <c r="A30" t="s">
        <v>180</v>
      </c>
      <c r="B30">
        <v>2.8283999999999998</v>
      </c>
    </row>
    <row r="31" spans="1:6">
      <c r="A31" t="s">
        <v>181</v>
      </c>
      <c r="B31">
        <v>2.4165999999999999</v>
      </c>
    </row>
    <row r="33" spans="1:2">
      <c r="A33" t="s">
        <v>182</v>
      </c>
      <c r="B33">
        <v>0.99480000000000002</v>
      </c>
    </row>
    <row r="36" spans="1:2" ht="19">
      <c r="A36" s="4"/>
    </row>
    <row r="37" spans="1:2">
      <c r="A37" t="s">
        <v>183</v>
      </c>
      <c r="B37">
        <v>9.4999999999999998E-3</v>
      </c>
    </row>
    <row r="38" spans="1:2">
      <c r="A38" t="s">
        <v>184</v>
      </c>
      <c r="B38">
        <v>4.9500000000000002E-2</v>
      </c>
    </row>
    <row r="39" spans="1:2">
      <c r="A39" t="s">
        <v>185</v>
      </c>
      <c r="B39">
        <v>5.8999999999999997E-2</v>
      </c>
    </row>
    <row r="41" spans="1:2">
      <c r="A41" t="s">
        <v>186</v>
      </c>
      <c r="B41">
        <v>0.16101699999999999</v>
      </c>
    </row>
    <row r="45" spans="1:2" ht="19">
      <c r="A45" s="4"/>
    </row>
    <row r="46" spans="1:2">
      <c r="A46" t="s">
        <v>187</v>
      </c>
      <c r="B46">
        <v>120</v>
      </c>
    </row>
    <row r="48" spans="1:2">
      <c r="A48" t="s">
        <v>188</v>
      </c>
      <c r="B48">
        <v>2.7E-2</v>
      </c>
    </row>
    <row r="50" spans="1:2">
      <c r="A50" t="s">
        <v>189</v>
      </c>
      <c r="B50">
        <v>8.2353999999999997E-2</v>
      </c>
    </row>
    <row r="52" spans="1:2">
      <c r="A52" t="s">
        <v>190</v>
      </c>
      <c r="B52">
        <v>0.26682800000000001</v>
      </c>
    </row>
    <row r="54" spans="1:2">
      <c r="A54" t="s">
        <v>170</v>
      </c>
      <c r="B54">
        <v>3</v>
      </c>
    </row>
    <row r="55" spans="1:2">
      <c r="A55" t="s">
        <v>174</v>
      </c>
      <c r="B55">
        <v>2.1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Expectation_Variance</vt:lpstr>
      <vt:lpstr>Covariance_Correlation</vt:lpstr>
      <vt:lpstr>Bayes_Theorem</vt:lpstr>
      <vt:lpstr>Distributions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dcterms:created xsi:type="dcterms:W3CDTF">2026-01-20T07:07:36Z</dcterms:created>
  <dcterms:modified xsi:type="dcterms:W3CDTF">2026-02-10T02:07:52Z</dcterms:modified>
</cp:coreProperties>
</file>