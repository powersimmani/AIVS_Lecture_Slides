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ihwankim/Downloads/Excel-worksheets 2/"/>
    </mc:Choice>
  </mc:AlternateContent>
  <xr:revisionPtr revIDLastSave="0" documentId="8_{0537CC93-3EF6-484F-AAF8-525A3A1F7895}" xr6:coauthVersionLast="47" xr6:coauthVersionMax="47" xr10:uidLastSave="{00000000-0000-0000-0000-000000000000}"/>
  <bookViews>
    <workbookView xWindow="4300" yWindow="680" windowWidth="29900" windowHeight="19580" activeTab="1" xr2:uid="{00000000-000D-0000-FFFF-FFFF00000000}"/>
  </bookViews>
  <sheets>
    <sheet name="Instructions" sheetId="1" r:id="rId1"/>
    <sheet name="Forward_Propagation" sheetId="2" r:id="rId2"/>
    <sheet name="Backward_Propagation" sheetId="3" r:id="rId3"/>
    <sheet name="Answer_Key" sheetId="4" r:id="rId4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B4" i="2"/>
</calcChain>
</file>

<file path=xl/sharedStrings.xml><?xml version="1.0" encoding="utf-8"?>
<sst xmlns="http://schemas.openxmlformats.org/spreadsheetml/2006/main" count="273" uniqueCount="192">
  <si>
    <t>[Description] This worksheet demonstrates the simplest supervised learning model - linear regression with gradient descent.</t>
  </si>
  <si>
    <t>Linear Regression Matrix Operations Practice Worksheet</t>
  </si>
  <si>
    <t>[Learning Objectives]</t>
  </si>
  <si>
    <t>1. Understand linear regression using matrix form input data and weights</t>
  </si>
  <si>
    <t>2. Calculate forward propagation through Matrix Multiplication</t>
  </si>
  <si>
    <t>3. Calculate MSE loss function gradient (matrix differentiation)</t>
  </si>
  <si>
    <t>4. Update weight matrix through backpropagation</t>
  </si>
  <si>
    <t>[Network Structure]</t>
  </si>
  <si>
    <t>• Input matrix X: 10 samples × 8 features (10×8 matrix)</t>
  </si>
  <si>
    <t>• Weight matrix W: 8 features × 1 output (8×1 vector)</t>
  </si>
  <si>
    <t>• Bias b: Scalar (applied equally to all samples)</t>
  </si>
  <si>
    <t>• Output Y_pred: 10 samples × 1 output (10×1 vector)</t>
  </si>
  <si>
    <t>• Loss function: MSE (Mean Squared Error)</t>
  </si>
  <si>
    <t>[Mathematical Expression]</t>
  </si>
  <si>
    <t>Forward:    Y_pred = X · W + b     (Matrix multiplication + broadcasting)</t>
  </si>
  <si>
    <t>Loss:       L = (1/2n) × Σ(y_pred - y_true)²</t>
  </si>
  <si>
    <t>Gradient:   ∂L/∂W = (1/n) × X^T · (Y_pred - Y_true)</t>
  </si>
  <si>
    <t xml:space="preserve">            ∂L/∂b = (1/n) × Σ(y_pred - y_true)</t>
  </si>
  <si>
    <t>Update:     W_new = W - lr × ∂L/∂W</t>
  </si>
  <si>
    <t xml:space="preserve">            b_new = b - lr × ∂L/∂b</t>
  </si>
  <si>
    <t>[Color Legend]</t>
  </si>
  <si>
    <t xml:space="preserve">  ■ Input matrix (X)</t>
  </si>
  <si>
    <t xml:space="preserve">  ■ Weight (W)</t>
  </si>
  <si>
    <t xml:space="preserve">  ■ Output/Prediction (Y_pred)</t>
  </si>
  <si>
    <t xml:space="preserve">  ■ Gradient</t>
  </si>
  <si>
    <t xml:space="preserve">  ■ Student input cell</t>
  </si>
  <si>
    <t xml:space="preserve">  ■ Answer</t>
  </si>
  <si>
    <t xml:space="preserve">  ■ Wrong</t>
  </si>
  <si>
    <t>[How to Use]</t>
  </si>
  <si>
    <t>1. Enter calculation results in yellow cells in Forward_Propagation sheet</t>
  </si>
  <si>
    <t>2. Check ✓(correct) or ✗(wrong) in verification cells</t>
  </si>
  <si>
    <t>3. Tolerance: 0.0001 (up to 4 decimal places)</t>
  </si>
  <si>
    <t>4. Hint: Matrix multiplication is calculated in 'row × column' order</t>
  </si>
  <si>
    <t>[Description] Forward pass: Compute predictions from inputs using y = Wx + b. This is the inference step.</t>
  </si>
  <si>
    <t>Forward Propagation - Matrix Operations</t>
  </si>
  <si>
    <t>Progress:</t>
  </si>
  <si>
    <t>Sample</t>
  </si>
  <si>
    <t>x1</t>
  </si>
  <si>
    <t>x2</t>
  </si>
  <si>
    <t>x3</t>
  </si>
  <si>
    <t>x4</t>
  </si>
  <si>
    <t>x5</t>
  </si>
  <si>
    <t>x6</t>
  </si>
  <si>
    <t>x7</t>
  </si>
  <si>
    <t>x8</t>
  </si>
  <si>
    <t>s1</t>
  </si>
  <si>
    <t>w1</t>
  </si>
  <si>
    <t>y1</t>
  </si>
  <si>
    <t>s2</t>
  </si>
  <si>
    <t>w2</t>
  </si>
  <si>
    <t>y2</t>
  </si>
  <si>
    <t>s3</t>
  </si>
  <si>
    <t>w3</t>
  </si>
  <si>
    <t>y3</t>
  </si>
  <si>
    <t>s4</t>
  </si>
  <si>
    <t>w4</t>
  </si>
  <si>
    <t>y4</t>
  </si>
  <si>
    <t>s5</t>
  </si>
  <si>
    <t>w5</t>
  </si>
  <si>
    <t>y5</t>
  </si>
  <si>
    <t>s6</t>
  </si>
  <si>
    <t>w6</t>
  </si>
  <si>
    <t>y6</t>
  </si>
  <si>
    <t>s7</t>
  </si>
  <si>
    <t>w7</t>
  </si>
  <si>
    <t>y7</t>
  </si>
  <si>
    <t>s8</t>
  </si>
  <si>
    <t>w8</t>
  </si>
  <si>
    <t>y8</t>
  </si>
  <si>
    <t>s9</t>
  </si>
  <si>
    <t>y9</t>
  </si>
  <si>
    <t>s10</t>
  </si>
  <si>
    <t>b</t>
  </si>
  <si>
    <t>y10</t>
  </si>
  <si>
    <t>Formula: z_i = x_i1×w1 + x_i2×w2 + ... + x_i8×w8</t>
  </si>
  <si>
    <t>Formula (product of each term)</t>
  </si>
  <si>
    <t>Total (z)</t>
  </si>
  <si>
    <t>Student input</t>
  </si>
  <si>
    <t>1.0×0.20 + 2.0×0.30 + 0.0×-0.10 + -1.0×0.40 + ...</t>
  </si>
  <si>
    <t>0.5×0.20 + 1.0×0.30 + 1.0×-0.10 + 0.0×0.40 + ...</t>
  </si>
  <si>
    <t>2.0×0.20 + 0.0×0.30 + -1.0×-0.10 + 1.0×0.40 + ...</t>
  </si>
  <si>
    <t>0.0×0.20 + 1.5×0.30 + 0.5×-0.10 + 0.5×0.40 + ...</t>
  </si>
  <si>
    <t>1.0×0.20 + -1.0×0.30 + 2.0×-0.10 + 0.0×0.40 + ...</t>
  </si>
  <si>
    <t>-0.5×0.20 + 1.0×0.30 + 0.0×-0.10 + 1.5×0.40 + ...</t>
  </si>
  <si>
    <t>1.5×0.20 + 0.5×0.30 + 1.0×-0.10 + -0.5×0.40 + ...</t>
  </si>
  <si>
    <t>0.0×0.20 + 2.0×0.30 + -0.5×-0.10 + 0.0×0.40 + ...</t>
  </si>
  <si>
    <t>1.0×0.20 + 0.0×0.30 + 1.0×-0.10 + 1.0×0.40 + ...</t>
  </si>
  <si>
    <t>0.5×0.20 + 0.5×0.30 + 0.5×-0.10 + 0.5×0.40 + ...</t>
  </si>
  <si>
    <t>Formula: y_pred_i = z_i + b (b = 0.5)</t>
  </si>
  <si>
    <t>z_i</t>
  </si>
  <si>
    <t>+ b</t>
  </si>
  <si>
    <t>y_pred</t>
  </si>
  <si>
    <t>+ 0.5</t>
  </si>
  <si>
    <t>y_true</t>
  </si>
  <si>
    <t>error</t>
  </si>
  <si>
    <t>error²</t>
  </si>
  <si>
    <t>Formula: L = (1/2n) × Σ(error²)</t>
  </si>
  <si>
    <t>Σ(error²) =</t>
  </si>
  <si>
    <t>n (sample count) =</t>
  </si>
  <si>
    <t>Loss =</t>
  </si>
  <si>
    <t>Final Loss (MSE): 0.538938</t>
  </si>
  <si>
    <t>[Description] Backward pass: Compute gradients of loss w.r.t. parameters and update weights using gradient descent.</t>
  </si>
  <si>
    <t>Backward Propagation - Gradient Calculation</t>
  </si>
  <si>
    <t>Learning rate (lr):</t>
  </si>
  <si>
    <t>Formula: ∂L/∂y_pred_i = (1/n) × (y_pred_i - y_true_i)</t>
  </si>
  <si>
    <t>Calculation</t>
  </si>
  <si>
    <t>∂L/∂y_pred</t>
  </si>
  <si>
    <t>(1/10) × (0.9000 - 2.00)</t>
  </si>
  <si>
    <t>(1/10) × (0.4500 - 1.50)</t>
  </si>
  <si>
    <t>(1/10) × (1.7000 - 1.00)</t>
  </si>
  <si>
    <t>(1/10) × (0.9750 - 2.50)</t>
  </si>
  <si>
    <t>(1/10) × (0.1250 - 1.80)</t>
  </si>
  <si>
    <t>(1/10) × (1.2000 - 2.20)</t>
  </si>
  <si>
    <t>(1/10) × (0.9500 - 1.20)</t>
  </si>
  <si>
    <t>(1/10) × (0.9500 - 1.70)</t>
  </si>
  <si>
    <t>(1/10) × (1.3000 - 1.40)</t>
  </si>
  <si>
    <t>Formula: ∂L/∂W = X^T · (∂L/∂Y_pred) = X^T · dL_dY</t>
  </si>
  <si>
    <t>Each weight: ∂L/∂w_j = Σ_i (x_ij × ∂L/∂y_pred_i)</t>
  </si>
  <si>
    <t>Weight</t>
  </si>
  <si>
    <t>Calculation (column j of X · dL_dY)</t>
  </si>
  <si>
    <t>∂L/∂w</t>
  </si>
  <si>
    <t>∂L/∂w1</t>
  </si>
  <si>
    <t>1.0×-0.1100 + 0.5×-0.1050 + 2.0×0.0700 + ...</t>
  </si>
  <si>
    <t>∂L/∂w2</t>
  </si>
  <si>
    <t>2.0×-0.1100 + 1.0×-0.1050 + 0.0×0.0700 + ...</t>
  </si>
  <si>
    <t>∂L/∂w3</t>
  </si>
  <si>
    <t>0.0×-0.1100 + 1.0×-0.1050 + -1.0×0.0700 + ...</t>
  </si>
  <si>
    <t>∂L/∂w4</t>
  </si>
  <si>
    <t>-1.0×-0.1100 + 0.0×-0.1050 + 1.0×0.0700 + ...</t>
  </si>
  <si>
    <t>∂L/∂w5</t>
  </si>
  <si>
    <t>1.0×-0.1100 + 0.5×-0.1050 + 0.0×0.0700 + ...</t>
  </si>
  <si>
    <t>∂L/∂w6</t>
  </si>
  <si>
    <t>0.0×-0.1100 + -1.0×-0.1050 + 0.5×0.0700 + ...</t>
  </si>
  <si>
    <t>∂L/∂w7</t>
  </si>
  <si>
    <t>0.5×-0.1100 + 0.0×-0.1050 + 1.0×0.0700 + ...</t>
  </si>
  <si>
    <t>∂L/∂w8</t>
  </si>
  <si>
    <t>-0.5×-0.1100 + 1.0×-0.1050 + 0.0×0.0700 + ...</t>
  </si>
  <si>
    <t>∂L/∂b</t>
  </si>
  <si>
    <t>Σ(∂L/∂y_pred_i) = Sum of all gradients</t>
  </si>
  <si>
    <t>Formula: w_new = w_old - lr × ∂L/∂w (lr = 0.01)</t>
  </si>
  <si>
    <t>Existing value</t>
  </si>
  <si>
    <t>Gradient</t>
  </si>
  <si>
    <t>New value</t>
  </si>
  <si>
    <t>Loss before update:</t>
  </si>
  <si>
    <t>Loss after update:</t>
  </si>
  <si>
    <t>Loss reduction:</t>
  </si>
  <si>
    <t>[Description] Reference solutions for self-checking your calculations.</t>
  </si>
  <si>
    <t>Answer Key</t>
  </si>
  <si>
    <t>y_pred_i</t>
  </si>
  <si>
    <t>Sample 1</t>
  </si>
  <si>
    <t>Sample 2</t>
  </si>
  <si>
    <t>Sample 3</t>
  </si>
  <si>
    <t>Sample 4</t>
  </si>
  <si>
    <t>Sample 5</t>
  </si>
  <si>
    <t>Sample 6</t>
  </si>
  <si>
    <t>Sample 7</t>
  </si>
  <si>
    <t>Sample 8</t>
  </si>
  <si>
    <t>Sample 9</t>
  </si>
  <si>
    <t>Sample 10</t>
  </si>
  <si>
    <t>error_1</t>
  </si>
  <si>
    <t>error_2</t>
  </si>
  <si>
    <t>error_3</t>
  </si>
  <si>
    <t>error_4</t>
  </si>
  <si>
    <t>error_5</t>
  </si>
  <si>
    <t>error_6</t>
  </si>
  <si>
    <t>error_7</t>
  </si>
  <si>
    <t>error_8</t>
  </si>
  <si>
    <t>error_9</t>
  </si>
  <si>
    <t>error_10</t>
  </si>
  <si>
    <t>Loss (MSE)</t>
  </si>
  <si>
    <t>∂L/∂Y_pred:</t>
  </si>
  <si>
    <t>∂L/∂y_pred_1</t>
  </si>
  <si>
    <t>∂L/∂y_pred_2</t>
  </si>
  <si>
    <t>∂L/∂y_pred_3</t>
  </si>
  <si>
    <t>∂L/∂y_pred_4</t>
  </si>
  <si>
    <t>∂L/∂y_pred_5</t>
  </si>
  <si>
    <t>∂L/∂y_pred_6</t>
  </si>
  <si>
    <t>∂L/∂y_pred_7</t>
  </si>
  <si>
    <t>∂L/∂y_pred_8</t>
  </si>
  <si>
    <t>∂L/∂y_pred_9</t>
  </si>
  <si>
    <t>∂L/∂y_pred_10</t>
  </si>
  <si>
    <t>∂L/∂W:</t>
  </si>
  <si>
    <t>w1_new</t>
  </si>
  <si>
    <t>w2_new</t>
  </si>
  <si>
    <t>w3_new</t>
  </si>
  <si>
    <t>w4_new</t>
  </si>
  <si>
    <t>w5_new</t>
  </si>
  <si>
    <t>w6_new</t>
  </si>
  <si>
    <t>w7_new</t>
  </si>
  <si>
    <t>w8_new</t>
  </si>
  <si>
    <t>b_new</t>
  </si>
  <si>
    <t>Loss after 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</si>
</sst>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6"/>
      <name val="맑은 고딕"/>
      <family val="2"/>
      <charset val="129"/>
    </font>
    <font>
      <sz val="11"/>
      <name val="맑은 고딕"/>
      <family val="2"/>
      <charset val="129"/>
    </font>
    <font>
      <b/>
      <sz val="13"/>
      <name val="맑은 고딕"/>
      <family val="2"/>
      <charset val="129"/>
    </font>
    <font>
      <sz val="11"/>
      <name val="Cambria Math"/>
      <family val="1"/>
    </font>
    <font>
      <b/>
      <sz val="11"/>
      <name val="Calibri"/>
      <family val="2"/>
    </font>
    <font>
      <sz val="10"/>
      <name val="Consolas"/>
      <family val="2"/>
    </font>
    <font>
      <b/>
      <sz val="11"/>
      <color rgb="FFFFFFFF"/>
      <name val="맑은 고딕"/>
      <family val="2"/>
      <charset val="129"/>
    </font>
    <font>
      <i/>
      <sz val="10"/>
      <color rgb="FF50505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AEEF3"/>
        <bgColor rgb="FFDAEEF3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8CBAD"/>
        <bgColor rgb="FFF8CBAD"/>
      </patternFill>
    </fill>
    <fill>
      <patternFill patternType="solid">
        <fgColor rgb="FFFFFF00"/>
        <bgColor rgb="FFFFFF00"/>
      </patternFill>
    </fill>
    <fill>
      <patternFill patternType="solid">
        <fgColor rgb="FF90EE90"/>
        <bgColor rgb="FF90EE90"/>
      </patternFill>
    </fill>
    <fill>
      <patternFill patternType="solid">
        <fgColor rgb="FFFFB6C1"/>
        <bgColor rgb="FFFFB6C1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0F8FF"/>
        <bgColor rgb="FFF0F8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5" fillId="0" borderId="0" xfId="0" applyFont="1"/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10" borderId="0" xfId="0" applyFont="1" applyFill="1"/>
    <xf numFmtId="0" fontId="7" fillId="11" borderId="0" xfId="0" applyFont="1" applyFill="1" applyAlignment="1">
      <alignment horizontal="center" vertical="center"/>
    </xf>
    <xf numFmtId="0" fontId="0" fillId="10" borderId="0" xfId="0" applyFill="1"/>
    <xf numFmtId="0" fontId="0" fillId="6" borderId="2" xfId="0" applyFill="1" applyBorder="1" applyAlignment="1">
      <alignment horizontal="center" vertical="center"/>
    </xf>
    <xf numFmtId="0" fontId="7" fillId="11" borderId="0" xfId="0" applyFont="1" applyFill="1"/>
    <xf numFmtId="0" fontId="0" fillId="4" borderId="0" xfId="0" applyFill="1"/>
    <xf numFmtId="0" fontId="0" fillId="6" borderId="2" xfId="0" applyFill="1" applyBorder="1"/>
    <xf numFmtId="0" fontId="0" fillId="9" borderId="0" xfId="0" applyFill="1"/>
    <xf numFmtId="0" fontId="0" fillId="5" borderId="0" xfId="0" applyFill="1"/>
    <xf numFmtId="0" fontId="0" fillId="3" borderId="0" xfId="0" applyFill="1"/>
    <xf numFmtId="0" fontId="5" fillId="7" borderId="0" xfId="0" applyFont="1" applyFill="1"/>
    <xf numFmtId="0" fontId="8" fillId="12" borderId="0" xfId="0" applyFont="1" applyFill="1" applyAlignment="1">
      <alignment wrapText="1"/>
    </xf>
    <xf numFmtId="0" fontId="0" fillId="0" borderId="0" xfId="0"/>
  </cellXfs>
  <cellStyles count="1">
    <cellStyle name="Normal" xfId="0" builtinId="0"/>
  </cellStyles>
  <dxfs count="12">
    <dxf>
      <fill>
        <patternFill patternType="solid">
          <fgColor rgb="FFFFB6C1"/>
          <bgColor rgb="FFFFB6C1"/>
        </patternFill>
      </fill>
    </dxf>
    <dxf>
      <fill>
        <patternFill patternType="solid">
          <fgColor rgb="FF90EE90"/>
          <bgColor rgb="FF90EE90"/>
        </patternFill>
      </fill>
    </dxf>
    <dxf>
      <fill>
        <patternFill patternType="solid">
          <fgColor rgb="FFFFB6C1"/>
          <bgColor rgb="FFFFB6C1"/>
        </patternFill>
      </fill>
    </dxf>
    <dxf>
      <fill>
        <patternFill patternType="solid">
          <fgColor rgb="FF90EE90"/>
          <bgColor rgb="FF90EE90"/>
        </patternFill>
      </fill>
    </dxf>
    <dxf>
      <fill>
        <patternFill patternType="solid">
          <fgColor rgb="FFFFB6C1"/>
          <bgColor rgb="FFFFB6C1"/>
        </patternFill>
      </fill>
    </dxf>
    <dxf>
      <fill>
        <patternFill patternType="solid">
          <fgColor rgb="FF90EE90"/>
          <bgColor rgb="FF90EE90"/>
        </patternFill>
      </fill>
    </dxf>
    <dxf>
      <fill>
        <patternFill patternType="solid">
          <fgColor rgb="FFFFB6C1"/>
          <bgColor rgb="FFFFB6C1"/>
        </patternFill>
      </fill>
    </dxf>
    <dxf>
      <fill>
        <patternFill patternType="solid">
          <fgColor rgb="FF90EE90"/>
          <bgColor rgb="FF90EE90"/>
        </patternFill>
      </fill>
    </dxf>
    <dxf>
      <fill>
        <patternFill patternType="solid">
          <fgColor rgb="FFFFB6C1"/>
          <bgColor rgb="FFFFB6C1"/>
        </patternFill>
      </fill>
    </dxf>
    <dxf>
      <fill>
        <patternFill patternType="solid">
          <fgColor rgb="FF90EE90"/>
          <bgColor rgb="FF90EE90"/>
        </patternFill>
      </fill>
    </dxf>
    <dxf>
      <fill>
        <patternFill patternType="solid">
          <fgColor rgb="FFFFB6C1"/>
          <bgColor rgb="FFFFB6C1"/>
        </patternFill>
      </fill>
    </dxf>
    <dxf>
      <fill>
        <patternFill patternType="solid">
          <fgColor rgb="FF90EE90"/>
          <bgColor rgb="FF90EE9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0"/>
  <sheetViews>
    <sheetView workbookViewId="0">
      <selection sqref="A1:E1"/>
    </sheetView>
  </sheetViews>
  <sheetFormatPr baseColWidth="10" defaultColWidth="8.83203125" defaultRowHeight="15"/>
  <cols>
    <col min="1" max="1" width="90" customWidth="1"/>
  </cols>
  <sheetData>
    <row r="1" spans="1:5">
      <c r="A1" s="29" t="s">
        <v>0</v>
      </c>
      <c r="B1" s="30"/>
      <c r="C1" s="30"/>
      <c r="D1" s="30"/>
      <c r="E1" s="30"/>
    </row>
    <row r="2" spans="1:5" ht="23">
      <c r="A2" s="1" t="s">
        <v>1</v>
      </c>
    </row>
    <row r="4" spans="1:5" ht="17">
      <c r="A4" s="2"/>
    </row>
    <row r="6" spans="1:5" ht="19">
      <c r="A6" s="3" t="s">
        <v>2</v>
      </c>
    </row>
    <row r="7" spans="1:5" ht="17">
      <c r="A7" s="2" t="s">
        <v>3</v>
      </c>
    </row>
    <row r="8" spans="1:5" ht="17">
      <c r="A8" s="2" t="s">
        <v>4</v>
      </c>
    </row>
    <row r="9" spans="1:5" ht="17">
      <c r="A9" s="2" t="s">
        <v>5</v>
      </c>
    </row>
    <row r="10" spans="1:5" ht="17">
      <c r="A10" s="2" t="s">
        <v>6</v>
      </c>
    </row>
    <row r="12" spans="1:5" ht="19">
      <c r="A12" s="3" t="s">
        <v>7</v>
      </c>
    </row>
    <row r="13" spans="1:5" ht="17">
      <c r="A13" s="2" t="s">
        <v>8</v>
      </c>
    </row>
    <row r="14" spans="1:5" ht="17">
      <c r="A14" s="2" t="s">
        <v>9</v>
      </c>
    </row>
    <row r="15" spans="1:5" ht="17">
      <c r="A15" s="2" t="s">
        <v>10</v>
      </c>
    </row>
    <row r="16" spans="1:5" ht="17">
      <c r="A16" s="2" t="s">
        <v>11</v>
      </c>
    </row>
    <row r="17" spans="1:2" ht="17">
      <c r="A17" s="2" t="s">
        <v>12</v>
      </c>
    </row>
    <row r="19" spans="1:2" ht="19">
      <c r="A19" s="3" t="s">
        <v>13</v>
      </c>
    </row>
    <row r="20" spans="1:2">
      <c r="A20" s="4" t="s">
        <v>14</v>
      </c>
    </row>
    <row r="21" spans="1:2">
      <c r="A21" s="4" t="s">
        <v>15</v>
      </c>
    </row>
    <row r="22" spans="1:2">
      <c r="A22" s="4" t="s">
        <v>16</v>
      </c>
    </row>
    <row r="23" spans="1:2">
      <c r="A23" s="4" t="s">
        <v>17</v>
      </c>
    </row>
    <row r="24" spans="1:2">
      <c r="A24" s="4" t="s">
        <v>18</v>
      </c>
    </row>
    <row r="25" spans="1:2">
      <c r="A25" s="4" t="s">
        <v>19</v>
      </c>
    </row>
    <row r="27" spans="1:2" ht="19">
      <c r="A27" s="3" t="s">
        <v>20</v>
      </c>
    </row>
    <row r="28" spans="1:2" ht="17">
      <c r="A28" s="2" t="s">
        <v>21</v>
      </c>
      <c r="B28" s="5"/>
    </row>
    <row r="29" spans="1:2" ht="17">
      <c r="A29" s="2" t="s">
        <v>22</v>
      </c>
      <c r="B29" s="6"/>
    </row>
    <row r="30" spans="1:2" ht="17">
      <c r="A30" s="2" t="s">
        <v>23</v>
      </c>
      <c r="B30" s="7"/>
    </row>
    <row r="31" spans="1:2" ht="17">
      <c r="A31" s="2" t="s">
        <v>24</v>
      </c>
      <c r="B31" s="8"/>
    </row>
    <row r="32" spans="1:2" ht="17">
      <c r="A32" s="2" t="s">
        <v>25</v>
      </c>
      <c r="B32" s="9"/>
    </row>
    <row r="33" spans="1:2" ht="17">
      <c r="A33" s="2" t="s">
        <v>26</v>
      </c>
      <c r="B33" s="10"/>
    </row>
    <row r="34" spans="1:2" ht="17">
      <c r="A34" s="2" t="s">
        <v>27</v>
      </c>
      <c r="B34" s="11"/>
    </row>
    <row r="36" spans="1:2" ht="19">
      <c r="A36" s="3" t="s">
        <v>28</v>
      </c>
    </row>
    <row r="37" spans="1:2" ht="17">
      <c r="A37" s="2" t="s">
        <v>29</v>
      </c>
    </row>
    <row r="38" spans="1:2" ht="17">
      <c r="A38" s="2" t="s">
        <v>30</v>
      </c>
    </row>
    <row r="39" spans="1:2" ht="17">
      <c r="A39" s="2" t="s">
        <v>31</v>
      </c>
    </row>
    <row r="40" spans="1:2" ht="17">
      <c r="A40" s="2" t="s">
        <v>32</v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5"/>
  <sheetViews>
    <sheetView tabSelected="1" workbookViewId="0">
      <selection activeCell="I27" sqref="I27"/>
    </sheetView>
  </sheetViews>
  <sheetFormatPr baseColWidth="10" defaultColWidth="8.83203125" defaultRowHeight="15"/>
  <cols>
    <col min="1" max="1" width="15" customWidth="1"/>
    <col min="2" max="2" width="40" customWidth="1"/>
    <col min="3" max="3" width="8" customWidth="1"/>
    <col min="4" max="4" width="12" customWidth="1"/>
    <col min="5" max="5" width="14" customWidth="1"/>
    <col min="6" max="6" width="12" customWidth="1"/>
    <col min="7" max="9" width="8" customWidth="1"/>
    <col min="10" max="10" width="12" customWidth="1"/>
    <col min="11" max="11" width="14" customWidth="1"/>
    <col min="12" max="12" width="12" customWidth="1"/>
    <col min="13" max="13" width="8" customWidth="1"/>
    <col min="14" max="14" width="4" customWidth="1"/>
    <col min="15" max="19" width="8" customWidth="1"/>
  </cols>
  <sheetData>
    <row r="1" spans="1:16">
      <c r="A1" s="29" t="s">
        <v>33</v>
      </c>
      <c r="B1" s="30"/>
      <c r="C1" s="30"/>
      <c r="D1" s="30"/>
      <c r="E1" s="30"/>
      <c r="F1" s="30"/>
      <c r="G1" s="30"/>
      <c r="H1" s="30"/>
      <c r="I1" s="30"/>
      <c r="J1" s="30"/>
    </row>
    <row r="2" spans="1:16" ht="23">
      <c r="A2" s="1" t="s">
        <v>34</v>
      </c>
    </row>
    <row r="4" spans="1:16">
      <c r="A4" s="12" t="s">
        <v>35</v>
      </c>
      <c r="B4" t="str">
        <f>COUNTIF(Q:Q,"✓")/12*100&amp;"%"</f>
        <v>0%</v>
      </c>
    </row>
    <row r="6" spans="1:16" ht="19">
      <c r="A6" s="3"/>
      <c r="L6" s="3"/>
      <c r="O6" s="3"/>
    </row>
    <row r="7" spans="1:16">
      <c r="A7" s="12" t="s">
        <v>36</v>
      </c>
      <c r="B7" s="13" t="s">
        <v>37</v>
      </c>
      <c r="C7" s="13" t="s">
        <v>38</v>
      </c>
      <c r="D7" s="13" t="s">
        <v>39</v>
      </c>
      <c r="E7" s="13" t="s">
        <v>40</v>
      </c>
      <c r="F7" s="13" t="s">
        <v>41</v>
      </c>
      <c r="G7" s="13" t="s">
        <v>42</v>
      </c>
      <c r="H7" s="13" t="s">
        <v>43</v>
      </c>
      <c r="I7" s="13" t="s">
        <v>44</v>
      </c>
    </row>
    <row r="8" spans="1:16">
      <c r="A8" s="12" t="s">
        <v>45</v>
      </c>
      <c r="B8" s="14">
        <v>1</v>
      </c>
      <c r="C8" s="14">
        <v>2</v>
      </c>
      <c r="D8" s="14">
        <v>0</v>
      </c>
      <c r="E8" s="14">
        <v>-1</v>
      </c>
      <c r="F8" s="14">
        <v>1</v>
      </c>
      <c r="G8" s="14">
        <v>0</v>
      </c>
      <c r="H8" s="14">
        <v>0.5</v>
      </c>
      <c r="I8" s="14">
        <v>-0.5</v>
      </c>
      <c r="L8" s="12" t="s">
        <v>46</v>
      </c>
      <c r="M8" s="15">
        <v>0.2</v>
      </c>
      <c r="O8" s="12" t="s">
        <v>47</v>
      </c>
      <c r="P8" s="16">
        <v>2</v>
      </c>
    </row>
    <row r="9" spans="1:16">
      <c r="A9" s="12" t="s">
        <v>48</v>
      </c>
      <c r="B9" s="14">
        <v>0.5</v>
      </c>
      <c r="C9" s="14">
        <v>1</v>
      </c>
      <c r="D9" s="14">
        <v>1</v>
      </c>
      <c r="E9" s="14">
        <v>0</v>
      </c>
      <c r="F9" s="14">
        <v>0.5</v>
      </c>
      <c r="G9" s="14">
        <v>-1</v>
      </c>
      <c r="H9" s="14">
        <v>0</v>
      </c>
      <c r="I9" s="14">
        <v>1</v>
      </c>
      <c r="L9" s="12" t="s">
        <v>49</v>
      </c>
      <c r="M9" s="15">
        <v>0.3</v>
      </c>
      <c r="O9" s="12" t="s">
        <v>50</v>
      </c>
      <c r="P9" s="16">
        <v>1.5</v>
      </c>
    </row>
    <row r="10" spans="1:16">
      <c r="A10" s="12" t="s">
        <v>51</v>
      </c>
      <c r="B10" s="14">
        <v>2</v>
      </c>
      <c r="C10" s="14">
        <v>0</v>
      </c>
      <c r="D10" s="14">
        <v>-1</v>
      </c>
      <c r="E10" s="14">
        <v>1</v>
      </c>
      <c r="F10" s="14">
        <v>0</v>
      </c>
      <c r="G10" s="14">
        <v>0.5</v>
      </c>
      <c r="H10" s="14">
        <v>1</v>
      </c>
      <c r="I10" s="14">
        <v>0</v>
      </c>
      <c r="L10" s="12" t="s">
        <v>52</v>
      </c>
      <c r="M10" s="15">
        <v>-0.1</v>
      </c>
      <c r="O10" s="12" t="s">
        <v>53</v>
      </c>
      <c r="P10" s="16">
        <v>1</v>
      </c>
    </row>
    <row r="11" spans="1:16">
      <c r="A11" s="12" t="s">
        <v>54</v>
      </c>
      <c r="B11" s="14">
        <v>0</v>
      </c>
      <c r="C11" s="14">
        <v>1.5</v>
      </c>
      <c r="D11" s="14">
        <v>0.5</v>
      </c>
      <c r="E11" s="14">
        <v>0.5</v>
      </c>
      <c r="F11" s="14">
        <v>-0.5</v>
      </c>
      <c r="G11" s="14">
        <v>1</v>
      </c>
      <c r="H11" s="14">
        <v>-1</v>
      </c>
      <c r="I11" s="14">
        <v>0.5</v>
      </c>
      <c r="L11" s="12" t="s">
        <v>55</v>
      </c>
      <c r="M11" s="15">
        <v>0.4</v>
      </c>
      <c r="O11" s="12" t="s">
        <v>56</v>
      </c>
      <c r="P11" s="16">
        <v>2.5</v>
      </c>
    </row>
    <row r="12" spans="1:16">
      <c r="A12" s="12" t="s">
        <v>57</v>
      </c>
      <c r="B12" s="14">
        <v>1</v>
      </c>
      <c r="C12" s="14">
        <v>-1</v>
      </c>
      <c r="D12" s="14">
        <v>2</v>
      </c>
      <c r="E12" s="14">
        <v>0</v>
      </c>
      <c r="F12" s="14">
        <v>1</v>
      </c>
      <c r="G12" s="14">
        <v>0</v>
      </c>
      <c r="H12" s="14">
        <v>0.5</v>
      </c>
      <c r="I12" s="14">
        <v>0</v>
      </c>
      <c r="L12" s="12" t="s">
        <v>58</v>
      </c>
      <c r="M12" s="15">
        <v>-0.2</v>
      </c>
      <c r="O12" s="12" t="s">
        <v>59</v>
      </c>
      <c r="P12" s="16">
        <v>1.8</v>
      </c>
    </row>
    <row r="13" spans="1:16">
      <c r="A13" s="12" t="s">
        <v>60</v>
      </c>
      <c r="B13" s="14">
        <v>-0.5</v>
      </c>
      <c r="C13" s="14">
        <v>1</v>
      </c>
      <c r="D13" s="14">
        <v>0</v>
      </c>
      <c r="E13" s="14">
        <v>1.5</v>
      </c>
      <c r="F13" s="14">
        <v>0</v>
      </c>
      <c r="G13" s="14">
        <v>0.5</v>
      </c>
      <c r="H13" s="14">
        <v>0</v>
      </c>
      <c r="I13" s="14">
        <v>1</v>
      </c>
      <c r="L13" s="12" t="s">
        <v>61</v>
      </c>
      <c r="M13" s="15">
        <v>0.1</v>
      </c>
      <c r="O13" s="12" t="s">
        <v>62</v>
      </c>
      <c r="P13" s="16">
        <v>2.2000000000000002</v>
      </c>
    </row>
    <row r="14" spans="1:16">
      <c r="A14" s="12" t="s">
        <v>63</v>
      </c>
      <c r="B14" s="14">
        <v>1.5</v>
      </c>
      <c r="C14" s="14">
        <v>0.5</v>
      </c>
      <c r="D14" s="14">
        <v>1</v>
      </c>
      <c r="E14" s="14">
        <v>-0.5</v>
      </c>
      <c r="F14" s="14">
        <v>0.5</v>
      </c>
      <c r="G14" s="14">
        <v>0</v>
      </c>
      <c r="H14" s="14">
        <v>1</v>
      </c>
      <c r="I14" s="14">
        <v>-1</v>
      </c>
      <c r="L14" s="12" t="s">
        <v>64</v>
      </c>
      <c r="M14" s="15">
        <v>0.25</v>
      </c>
      <c r="O14" s="12" t="s">
        <v>65</v>
      </c>
      <c r="P14" s="16">
        <v>1.2</v>
      </c>
    </row>
    <row r="15" spans="1:16">
      <c r="A15" s="12" t="s">
        <v>66</v>
      </c>
      <c r="B15" s="14">
        <v>0</v>
      </c>
      <c r="C15" s="14">
        <v>2</v>
      </c>
      <c r="D15" s="14">
        <v>-0.5</v>
      </c>
      <c r="E15" s="14">
        <v>0</v>
      </c>
      <c r="F15" s="14">
        <v>1</v>
      </c>
      <c r="G15" s="14">
        <v>-0.5</v>
      </c>
      <c r="H15" s="14">
        <v>0.5</v>
      </c>
      <c r="I15" s="14">
        <v>0.5</v>
      </c>
      <c r="L15" s="12" t="s">
        <v>67</v>
      </c>
      <c r="M15" s="15">
        <v>-0.15</v>
      </c>
      <c r="O15" s="12" t="s">
        <v>68</v>
      </c>
      <c r="P15" s="16">
        <v>1.7</v>
      </c>
    </row>
    <row r="16" spans="1:16">
      <c r="A16" s="12" t="s">
        <v>69</v>
      </c>
      <c r="B16" s="14">
        <v>1</v>
      </c>
      <c r="C16" s="14">
        <v>0</v>
      </c>
      <c r="D16" s="14">
        <v>1</v>
      </c>
      <c r="E16" s="14">
        <v>1</v>
      </c>
      <c r="F16" s="14">
        <v>-1</v>
      </c>
      <c r="G16" s="14">
        <v>1</v>
      </c>
      <c r="H16" s="14">
        <v>0</v>
      </c>
      <c r="I16" s="14">
        <v>0</v>
      </c>
      <c r="O16" s="12" t="s">
        <v>70</v>
      </c>
      <c r="P16" s="16">
        <v>1.4</v>
      </c>
    </row>
    <row r="17" spans="1:16">
      <c r="A17" s="12" t="s">
        <v>71</v>
      </c>
      <c r="B17" s="14">
        <v>0.5</v>
      </c>
      <c r="C17" s="14">
        <v>0.5</v>
      </c>
      <c r="D17" s="14">
        <v>0.5</v>
      </c>
      <c r="E17" s="14">
        <v>0.5</v>
      </c>
      <c r="F17" s="14">
        <v>0.5</v>
      </c>
      <c r="G17" s="14">
        <v>0.5</v>
      </c>
      <c r="H17" s="14">
        <v>0.5</v>
      </c>
      <c r="I17" s="14">
        <v>0.5</v>
      </c>
      <c r="L17" s="12" t="s">
        <v>72</v>
      </c>
      <c r="M17" s="17">
        <v>0.5</v>
      </c>
      <c r="O17" s="12" t="s">
        <v>73</v>
      </c>
      <c r="P17" s="16">
        <v>2</v>
      </c>
    </row>
    <row r="21" spans="1:16" ht="19">
      <c r="A21" s="3"/>
    </row>
    <row r="22" spans="1:16">
      <c r="A22" s="18" t="s">
        <v>74</v>
      </c>
    </row>
    <row r="24" spans="1:16" ht="15" customHeight="1">
      <c r="A24" s="19" t="s">
        <v>36</v>
      </c>
      <c r="B24" s="19" t="s">
        <v>75</v>
      </c>
      <c r="J24" s="19" t="s">
        <v>76</v>
      </c>
      <c r="K24" s="19" t="s">
        <v>77</v>
      </c>
    </row>
    <row r="25" spans="1:16" ht="15" customHeight="1">
      <c r="A25" s="12" t="s">
        <v>45</v>
      </c>
      <c r="B25" s="20" t="s">
        <v>78</v>
      </c>
      <c r="J25" s="20">
        <v>0.9</v>
      </c>
      <c r="K25" s="21"/>
    </row>
    <row r="26" spans="1:16" ht="15" customHeight="1">
      <c r="A26" s="12" t="s">
        <v>48</v>
      </c>
      <c r="B26" s="20" t="s">
        <v>79</v>
      </c>
      <c r="J26" s="20">
        <v>0.45</v>
      </c>
      <c r="K26" s="21"/>
    </row>
    <row r="27" spans="1:16" ht="15" customHeight="1">
      <c r="A27" s="12" t="s">
        <v>51</v>
      </c>
      <c r="B27" s="20" t="s">
        <v>80</v>
      </c>
      <c r="J27" s="20">
        <v>1.7</v>
      </c>
      <c r="K27" s="21"/>
    </row>
    <row r="28" spans="1:16" ht="15" customHeight="1">
      <c r="A28" s="12" t="s">
        <v>54</v>
      </c>
      <c r="B28" s="20" t="s">
        <v>81</v>
      </c>
      <c r="J28" s="20">
        <v>0.97499999999999998</v>
      </c>
      <c r="K28" s="21"/>
    </row>
    <row r="29" spans="1:16" ht="15" customHeight="1">
      <c r="A29" s="12" t="s">
        <v>57</v>
      </c>
      <c r="B29" s="20" t="s">
        <v>82</v>
      </c>
      <c r="J29" s="20">
        <v>0.125</v>
      </c>
      <c r="K29" s="21"/>
    </row>
    <row r="30" spans="1:16" ht="15" customHeight="1">
      <c r="A30" s="12" t="s">
        <v>60</v>
      </c>
      <c r="B30" s="20" t="s">
        <v>83</v>
      </c>
      <c r="J30" s="20">
        <v>1.2</v>
      </c>
      <c r="K30" s="21"/>
    </row>
    <row r="31" spans="1:16" ht="15" customHeight="1">
      <c r="A31" s="12" t="s">
        <v>63</v>
      </c>
      <c r="B31" s="20" t="s">
        <v>84</v>
      </c>
      <c r="J31" s="20">
        <v>0.95</v>
      </c>
      <c r="K31" s="21"/>
    </row>
    <row r="32" spans="1:16" ht="15" customHeight="1">
      <c r="A32" s="12" t="s">
        <v>66</v>
      </c>
      <c r="B32" s="20" t="s">
        <v>85</v>
      </c>
      <c r="J32" s="20">
        <v>0.95</v>
      </c>
      <c r="K32" s="21"/>
    </row>
    <row r="33" spans="1:11" ht="15" customHeight="1">
      <c r="A33" s="12" t="s">
        <v>69</v>
      </c>
      <c r="B33" s="20" t="s">
        <v>86</v>
      </c>
      <c r="J33" s="20">
        <v>1.3</v>
      </c>
      <c r="K33" s="21"/>
    </row>
    <row r="34" spans="1:11" ht="15" customHeight="1">
      <c r="A34" s="12" t="s">
        <v>71</v>
      </c>
      <c r="B34" s="20" t="s">
        <v>87</v>
      </c>
      <c r="J34" s="20">
        <v>0.9</v>
      </c>
      <c r="K34" s="21"/>
    </row>
    <row r="35" spans="1:11" ht="15" customHeight="1"/>
    <row r="36" spans="1:11" ht="15" customHeight="1"/>
    <row r="37" spans="1:11" ht="15" customHeight="1">
      <c r="A37" s="3"/>
    </row>
    <row r="38" spans="1:11" ht="15" customHeight="1">
      <c r="A38" s="18" t="s">
        <v>88</v>
      </c>
    </row>
    <row r="39" spans="1:11" ht="15" customHeight="1"/>
    <row r="40" spans="1:11" ht="15" customHeight="1">
      <c r="A40" s="22" t="s">
        <v>36</v>
      </c>
      <c r="B40" s="22" t="s">
        <v>89</v>
      </c>
      <c r="C40" s="22" t="s">
        <v>90</v>
      </c>
      <c r="D40" s="22" t="s">
        <v>91</v>
      </c>
      <c r="E40" s="22" t="s">
        <v>77</v>
      </c>
    </row>
    <row r="41" spans="1:11" ht="15" customHeight="1">
      <c r="A41" s="12" t="s">
        <v>45</v>
      </c>
      <c r="B41" s="20">
        <v>0.9</v>
      </c>
      <c r="C41" s="20" t="s">
        <v>92</v>
      </c>
      <c r="D41" s="23">
        <v>0.9</v>
      </c>
      <c r="E41" s="24"/>
    </row>
    <row r="42" spans="1:11" ht="15" customHeight="1">
      <c r="A42" s="12" t="s">
        <v>48</v>
      </c>
      <c r="B42" s="20">
        <v>0.45</v>
      </c>
      <c r="C42" s="20" t="s">
        <v>92</v>
      </c>
      <c r="D42" s="23">
        <v>0.45</v>
      </c>
      <c r="E42" s="24"/>
    </row>
    <row r="43" spans="1:11" ht="15" customHeight="1">
      <c r="A43" s="12" t="s">
        <v>51</v>
      </c>
      <c r="B43" s="20">
        <v>1.7</v>
      </c>
      <c r="C43" s="20" t="s">
        <v>92</v>
      </c>
      <c r="D43" s="23">
        <v>1.7</v>
      </c>
      <c r="E43" s="24"/>
    </row>
    <row r="44" spans="1:11" ht="15" customHeight="1">
      <c r="A44" s="12" t="s">
        <v>54</v>
      </c>
      <c r="B44" s="20">
        <v>0.97499999999999998</v>
      </c>
      <c r="C44" s="20" t="s">
        <v>92</v>
      </c>
      <c r="D44" s="23">
        <v>0.97499999999999998</v>
      </c>
      <c r="E44" s="24"/>
    </row>
    <row r="45" spans="1:11" ht="15" customHeight="1">
      <c r="A45" s="12" t="s">
        <v>57</v>
      </c>
      <c r="B45" s="20">
        <v>0.125</v>
      </c>
      <c r="C45" s="20" t="s">
        <v>92</v>
      </c>
      <c r="D45" s="23">
        <v>0.125</v>
      </c>
      <c r="E45" s="24"/>
    </row>
    <row r="46" spans="1:11" ht="15" customHeight="1">
      <c r="A46" s="12" t="s">
        <v>60</v>
      </c>
      <c r="B46" s="20">
        <v>1.2</v>
      </c>
      <c r="C46" s="20" t="s">
        <v>92</v>
      </c>
      <c r="D46" s="23">
        <v>1.2</v>
      </c>
      <c r="E46" s="24"/>
    </row>
    <row r="47" spans="1:11" ht="15" customHeight="1">
      <c r="A47" s="12" t="s">
        <v>63</v>
      </c>
      <c r="B47" s="20">
        <v>0.95</v>
      </c>
      <c r="C47" s="20" t="s">
        <v>92</v>
      </c>
      <c r="D47" s="23">
        <v>0.95</v>
      </c>
      <c r="E47" s="24"/>
    </row>
    <row r="48" spans="1:11" ht="15" customHeight="1">
      <c r="A48" s="12" t="s">
        <v>66</v>
      </c>
      <c r="B48" s="20">
        <v>0.95</v>
      </c>
      <c r="C48" s="20" t="s">
        <v>92</v>
      </c>
      <c r="D48" s="23">
        <v>0.95</v>
      </c>
      <c r="E48" s="24"/>
    </row>
    <row r="49" spans="1:5" ht="15" customHeight="1">
      <c r="A49" s="12" t="s">
        <v>69</v>
      </c>
      <c r="B49" s="20">
        <v>1.3</v>
      </c>
      <c r="C49" s="20" t="s">
        <v>92</v>
      </c>
      <c r="D49" s="23">
        <v>1.3</v>
      </c>
      <c r="E49" s="24"/>
    </row>
    <row r="50" spans="1:5">
      <c r="A50" s="12" t="s">
        <v>71</v>
      </c>
      <c r="B50" s="20">
        <v>0.9</v>
      </c>
      <c r="C50" s="20" t="s">
        <v>92</v>
      </c>
      <c r="D50" s="23">
        <v>0.9</v>
      </c>
      <c r="E50" s="24"/>
    </row>
    <row r="53" spans="1:5" ht="19">
      <c r="A53" s="3"/>
    </row>
    <row r="55" spans="1:5" ht="17">
      <c r="A55" s="22" t="s">
        <v>36</v>
      </c>
      <c r="B55" s="22" t="s">
        <v>91</v>
      </c>
      <c r="C55" s="22" t="s">
        <v>93</v>
      </c>
      <c r="D55" s="22" t="s">
        <v>94</v>
      </c>
      <c r="E55" s="22" t="s">
        <v>95</v>
      </c>
    </row>
    <row r="56" spans="1:5">
      <c r="A56" s="12" t="s">
        <v>45</v>
      </c>
      <c r="B56" s="23">
        <v>0.9</v>
      </c>
      <c r="C56" s="25">
        <v>2</v>
      </c>
      <c r="D56" s="26">
        <v>-1.1000000000000001</v>
      </c>
      <c r="E56" s="26">
        <v>1.21</v>
      </c>
    </row>
    <row r="57" spans="1:5">
      <c r="A57" s="12" t="s">
        <v>48</v>
      </c>
      <c r="B57" s="23">
        <v>0.45</v>
      </c>
      <c r="C57" s="25">
        <v>1.5</v>
      </c>
      <c r="D57" s="26">
        <v>-1.05</v>
      </c>
      <c r="E57" s="26">
        <v>1.1025</v>
      </c>
    </row>
    <row r="58" spans="1:5">
      <c r="A58" s="12" t="s">
        <v>51</v>
      </c>
      <c r="B58" s="23">
        <v>1.7</v>
      </c>
      <c r="C58" s="25">
        <v>1</v>
      </c>
      <c r="D58" s="26">
        <v>0.7</v>
      </c>
      <c r="E58" s="26">
        <v>0.49</v>
      </c>
    </row>
    <row r="59" spans="1:5">
      <c r="A59" s="12" t="s">
        <v>54</v>
      </c>
      <c r="B59" s="23">
        <v>0.97499999999999998</v>
      </c>
      <c r="C59" s="25">
        <v>2.5</v>
      </c>
      <c r="D59" s="26">
        <v>-1.5249999999999999</v>
      </c>
      <c r="E59" s="26">
        <v>2.3256000000000001</v>
      </c>
    </row>
    <row r="60" spans="1:5">
      <c r="A60" s="12" t="s">
        <v>57</v>
      </c>
      <c r="B60" s="23">
        <v>0.125</v>
      </c>
      <c r="C60" s="25">
        <v>1.8</v>
      </c>
      <c r="D60" s="26">
        <v>-1.675</v>
      </c>
      <c r="E60" s="26">
        <v>2.8056000000000001</v>
      </c>
    </row>
    <row r="61" spans="1:5">
      <c r="A61" s="12" t="s">
        <v>60</v>
      </c>
      <c r="B61" s="23">
        <v>1.2</v>
      </c>
      <c r="C61" s="25">
        <v>2.2000000000000002</v>
      </c>
      <c r="D61" s="26">
        <v>-1</v>
      </c>
      <c r="E61" s="26">
        <v>1</v>
      </c>
    </row>
    <row r="62" spans="1:5">
      <c r="A62" s="12" t="s">
        <v>63</v>
      </c>
      <c r="B62" s="23">
        <v>0.95</v>
      </c>
      <c r="C62" s="25">
        <v>1.2</v>
      </c>
      <c r="D62" s="26">
        <v>-0.25</v>
      </c>
      <c r="E62" s="26">
        <v>6.25E-2</v>
      </c>
    </row>
    <row r="63" spans="1:5">
      <c r="A63" s="12" t="s">
        <v>66</v>
      </c>
      <c r="B63" s="23">
        <v>0.95</v>
      </c>
      <c r="C63" s="25">
        <v>1.7</v>
      </c>
      <c r="D63" s="26">
        <v>-0.75</v>
      </c>
      <c r="E63" s="26">
        <v>0.5625</v>
      </c>
    </row>
    <row r="64" spans="1:5">
      <c r="A64" s="12" t="s">
        <v>69</v>
      </c>
      <c r="B64" s="23">
        <v>1.3</v>
      </c>
      <c r="C64" s="25">
        <v>1.4</v>
      </c>
      <c r="D64" s="26">
        <v>-0.1</v>
      </c>
      <c r="E64" s="26">
        <v>0.01</v>
      </c>
    </row>
    <row r="65" spans="1:5">
      <c r="A65" s="12" t="s">
        <v>71</v>
      </c>
      <c r="B65" s="23">
        <v>0.9</v>
      </c>
      <c r="C65" s="25">
        <v>2</v>
      </c>
      <c r="D65" s="26">
        <v>-1.1000000000000001</v>
      </c>
      <c r="E65" s="26">
        <v>1.21</v>
      </c>
    </row>
    <row r="67" spans="1:5" ht="19">
      <c r="A67" s="3"/>
    </row>
    <row r="68" spans="1:5">
      <c r="A68" s="4" t="s">
        <v>96</v>
      </c>
    </row>
    <row r="70" spans="1:5">
      <c r="A70" t="s">
        <v>97</v>
      </c>
      <c r="B70" s="20">
        <v>10.77875</v>
      </c>
    </row>
    <row r="71" spans="1:5">
      <c r="A71" t="s">
        <v>98</v>
      </c>
      <c r="B71" s="20">
        <v>10</v>
      </c>
    </row>
    <row r="72" spans="1:5">
      <c r="A72" s="12" t="s">
        <v>99</v>
      </c>
      <c r="B72" s="24"/>
    </row>
    <row r="74" spans="1:5" ht="19">
      <c r="A74" s="3"/>
    </row>
    <row r="75" spans="1:5">
      <c r="A75" s="23" t="s">
        <v>100</v>
      </c>
    </row>
  </sheetData>
  <mergeCells count="1">
    <mergeCell ref="A1:J1"/>
  </mergeCells>
  <conditionalFormatting sqref="F1:F39 F41:F100">
    <cfRule type="expression" dxfId="11" priority="1">
      <formula>L1="✓"</formula>
    </cfRule>
    <cfRule type="expression" dxfId="10" priority="2">
      <formula>L1="✗"</formula>
    </cfRule>
  </conditionalFormatting>
  <conditionalFormatting sqref="L1:L23 L25:L100">
    <cfRule type="expression" dxfId="9" priority="3">
      <formula>L1="✓"</formula>
    </cfRule>
    <cfRule type="expression" dxfId="8" priority="3">
      <formula>L1="✗"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8"/>
  <sheetViews>
    <sheetView topLeftCell="A39" workbookViewId="0">
      <selection activeCell="F18" sqref="F18"/>
    </sheetView>
  </sheetViews>
  <sheetFormatPr baseColWidth="10" defaultColWidth="8.83203125" defaultRowHeight="15"/>
  <cols>
    <col min="1" max="1" width="15" customWidth="1"/>
    <col min="2" max="2" width="35" customWidth="1"/>
    <col min="3" max="3" width="10" customWidth="1"/>
    <col min="4" max="4" width="19.83203125" customWidth="1"/>
    <col min="5" max="5" width="18.5" customWidth="1"/>
    <col min="6" max="19" width="10" customWidth="1"/>
  </cols>
  <sheetData>
    <row r="1" spans="1:6">
      <c r="A1" s="29" t="s">
        <v>101</v>
      </c>
      <c r="B1" s="30"/>
      <c r="C1" s="30"/>
      <c r="D1" s="30"/>
      <c r="E1" s="30"/>
      <c r="F1" s="30"/>
    </row>
    <row r="2" spans="1:6" ht="23">
      <c r="A2" s="1" t="s">
        <v>102</v>
      </c>
    </row>
    <row r="4" spans="1:6">
      <c r="A4" s="12" t="s">
        <v>35</v>
      </c>
      <c r="B4" t="str">
        <f>COUNTIF(E:E,"✓")/10*100&amp;"%"</f>
        <v>0%</v>
      </c>
    </row>
    <row r="6" spans="1:6">
      <c r="A6" s="12" t="s">
        <v>103</v>
      </c>
      <c r="B6" s="27">
        <v>0.01</v>
      </c>
    </row>
    <row r="8" spans="1:6" ht="19">
      <c r="A8" s="3"/>
    </row>
    <row r="9" spans="1:6">
      <c r="A9" s="18" t="s">
        <v>104</v>
      </c>
    </row>
    <row r="11" spans="1:6" ht="17">
      <c r="A11" s="22" t="s">
        <v>36</v>
      </c>
      <c r="B11" s="22" t="s">
        <v>105</v>
      </c>
      <c r="C11" s="22" t="s">
        <v>106</v>
      </c>
      <c r="D11" s="22" t="s">
        <v>77</v>
      </c>
    </row>
    <row r="12" spans="1:6">
      <c r="A12" s="12" t="s">
        <v>45</v>
      </c>
      <c r="B12" s="20" t="s">
        <v>107</v>
      </c>
      <c r="C12" s="26">
        <v>-0.11</v>
      </c>
      <c r="D12" s="24"/>
    </row>
    <row r="13" spans="1:6">
      <c r="A13" s="12" t="s">
        <v>48</v>
      </c>
      <c r="B13" s="20" t="s">
        <v>108</v>
      </c>
      <c r="C13" s="26">
        <v>-0.105</v>
      </c>
      <c r="D13" s="24"/>
    </row>
    <row r="14" spans="1:6">
      <c r="A14" s="12" t="s">
        <v>51</v>
      </c>
      <c r="B14" s="20" t="s">
        <v>109</v>
      </c>
      <c r="C14" s="26">
        <v>7.0000000000000007E-2</v>
      </c>
      <c r="D14" s="24"/>
    </row>
    <row r="15" spans="1:6">
      <c r="A15" s="12" t="s">
        <v>54</v>
      </c>
      <c r="B15" s="20" t="s">
        <v>110</v>
      </c>
      <c r="C15" s="26">
        <v>-0.1525</v>
      </c>
      <c r="D15" s="24"/>
    </row>
    <row r="16" spans="1:6">
      <c r="A16" s="12" t="s">
        <v>57</v>
      </c>
      <c r="B16" s="20" t="s">
        <v>111</v>
      </c>
      <c r="C16" s="26">
        <v>-0.16750000000000001</v>
      </c>
      <c r="D16" s="24"/>
    </row>
    <row r="17" spans="1:4">
      <c r="A17" s="12" t="s">
        <v>60</v>
      </c>
      <c r="B17" s="20" t="s">
        <v>112</v>
      </c>
      <c r="C17" s="26">
        <v>-0.1</v>
      </c>
      <c r="D17" s="24"/>
    </row>
    <row r="18" spans="1:4">
      <c r="A18" s="12" t="s">
        <v>63</v>
      </c>
      <c r="B18" s="20" t="s">
        <v>113</v>
      </c>
      <c r="C18" s="26">
        <v>-2.5000000000000001E-2</v>
      </c>
      <c r="D18" s="24"/>
    </row>
    <row r="19" spans="1:4">
      <c r="A19" s="12" t="s">
        <v>66</v>
      </c>
      <c r="B19" s="20" t="s">
        <v>114</v>
      </c>
      <c r="C19" s="26">
        <v>-7.4999999999999997E-2</v>
      </c>
      <c r="D19" s="24"/>
    </row>
    <row r="20" spans="1:4">
      <c r="A20" s="12" t="s">
        <v>69</v>
      </c>
      <c r="B20" s="20" t="s">
        <v>115</v>
      </c>
      <c r="C20" s="26">
        <v>-0.01</v>
      </c>
      <c r="D20" s="24"/>
    </row>
    <row r="21" spans="1:4">
      <c r="A21" s="12" t="s">
        <v>71</v>
      </c>
      <c r="B21" s="20" t="s">
        <v>107</v>
      </c>
      <c r="C21" s="26">
        <v>-0.11</v>
      </c>
      <c r="D21" s="24"/>
    </row>
    <row r="24" spans="1:4" ht="19">
      <c r="A24" s="3"/>
    </row>
    <row r="25" spans="1:4">
      <c r="A25" s="18" t="s">
        <v>116</v>
      </c>
    </row>
    <row r="26" spans="1:4">
      <c r="A26" s="18" t="s">
        <v>117</v>
      </c>
    </row>
    <row r="28" spans="1:4" ht="17">
      <c r="A28" s="22" t="s">
        <v>118</v>
      </c>
      <c r="B28" s="22" t="s">
        <v>119</v>
      </c>
      <c r="C28" s="22" t="s">
        <v>120</v>
      </c>
      <c r="D28" s="22" t="s">
        <v>77</v>
      </c>
    </row>
    <row r="29" spans="1:4">
      <c r="A29" s="12" t="s">
        <v>121</v>
      </c>
      <c r="B29" s="20" t="s">
        <v>122</v>
      </c>
      <c r="C29" s="26">
        <v>-0.24249999999999999</v>
      </c>
      <c r="D29" s="24"/>
    </row>
    <row r="30" spans="1:4">
      <c r="A30" s="12" t="s">
        <v>123</v>
      </c>
      <c r="B30" s="20" t="s">
        <v>124</v>
      </c>
      <c r="C30" s="26">
        <v>-0.70374999999999999</v>
      </c>
      <c r="D30" s="24"/>
    </row>
    <row r="31" spans="1:4">
      <c r="A31" s="12" t="s">
        <v>125</v>
      </c>
      <c r="B31" s="20" t="s">
        <v>126</v>
      </c>
      <c r="C31" s="26">
        <v>-0.63875000000000004</v>
      </c>
      <c r="D31" s="24"/>
    </row>
    <row r="32" spans="1:4">
      <c r="A32" s="12" t="s">
        <v>127</v>
      </c>
      <c r="B32" s="20" t="s">
        <v>128</v>
      </c>
      <c r="C32" s="26">
        <v>-9.8750000000000004E-2</v>
      </c>
      <c r="D32" s="24"/>
    </row>
    <row r="33" spans="1:5">
      <c r="A33" s="12" t="s">
        <v>129</v>
      </c>
      <c r="B33" s="20" t="s">
        <v>130</v>
      </c>
      <c r="C33" s="26">
        <v>-0.38624999999999998</v>
      </c>
      <c r="D33" s="24"/>
    </row>
    <row r="34" spans="1:5">
      <c r="A34" s="12" t="s">
        <v>131</v>
      </c>
      <c r="B34" s="20" t="s">
        <v>132</v>
      </c>
      <c r="C34" s="26">
        <v>-0.09</v>
      </c>
      <c r="D34" s="24"/>
    </row>
    <row r="35" spans="1:5">
      <c r="A35" s="12" t="s">
        <v>133</v>
      </c>
      <c r="B35" s="20" t="s">
        <v>134</v>
      </c>
      <c r="C35" s="26">
        <v>-3.3750000000000002E-2</v>
      </c>
      <c r="D35" s="24"/>
    </row>
    <row r="36" spans="1:5">
      <c r="A36" s="12" t="s">
        <v>135</v>
      </c>
      <c r="B36" s="20" t="s">
        <v>136</v>
      </c>
      <c r="C36" s="26">
        <v>-0.29375000000000001</v>
      </c>
      <c r="D36" s="24"/>
    </row>
    <row r="38" spans="1:5">
      <c r="A38" s="12" t="s">
        <v>137</v>
      </c>
      <c r="B38" s="20" t="s">
        <v>138</v>
      </c>
      <c r="C38" s="26">
        <v>-0.78500000000000003</v>
      </c>
      <c r="D38" s="24"/>
    </row>
    <row r="40" spans="1:5" ht="19">
      <c r="A40" s="3"/>
    </row>
    <row r="41" spans="1:5">
      <c r="A41" s="18" t="s">
        <v>139</v>
      </c>
    </row>
    <row r="43" spans="1:5" ht="17">
      <c r="A43" s="22" t="s">
        <v>118</v>
      </c>
      <c r="B43" s="22" t="s">
        <v>140</v>
      </c>
      <c r="C43" s="22" t="s">
        <v>141</v>
      </c>
      <c r="D43" s="22" t="s">
        <v>142</v>
      </c>
      <c r="E43" s="22" t="s">
        <v>77</v>
      </c>
    </row>
    <row r="44" spans="1:5">
      <c r="A44" s="12" t="s">
        <v>46</v>
      </c>
      <c r="B44" s="27">
        <v>0.2</v>
      </c>
      <c r="C44" s="26">
        <v>-0.24249999999999999</v>
      </c>
      <c r="D44" s="23">
        <v>0.20242499999999999</v>
      </c>
      <c r="E44" s="24"/>
    </row>
    <row r="45" spans="1:5">
      <c r="A45" s="12" t="s">
        <v>49</v>
      </c>
      <c r="B45" s="27">
        <v>0.3</v>
      </c>
      <c r="C45" s="26">
        <v>-0.70374999999999999</v>
      </c>
      <c r="D45" s="23">
        <v>0.307037</v>
      </c>
      <c r="E45" s="24"/>
    </row>
    <row r="46" spans="1:5">
      <c r="A46" s="12" t="s">
        <v>52</v>
      </c>
      <c r="B46" s="27">
        <v>-0.1</v>
      </c>
      <c r="C46" s="26">
        <v>-0.63875000000000004</v>
      </c>
      <c r="D46" s="23">
        <v>-9.3613000000000002E-2</v>
      </c>
      <c r="E46" s="24"/>
    </row>
    <row r="47" spans="1:5">
      <c r="A47" s="12" t="s">
        <v>55</v>
      </c>
      <c r="B47" s="27">
        <v>0.4</v>
      </c>
      <c r="C47" s="26">
        <v>-9.8750000000000004E-2</v>
      </c>
      <c r="D47" s="23">
        <v>0.40098699999999998</v>
      </c>
      <c r="E47" s="24"/>
    </row>
    <row r="48" spans="1:5">
      <c r="A48" s="12" t="s">
        <v>58</v>
      </c>
      <c r="B48" s="27">
        <v>-0.2</v>
      </c>
      <c r="C48" s="26">
        <v>-0.38624999999999998</v>
      </c>
      <c r="D48" s="23">
        <v>-0.19613800000000001</v>
      </c>
      <c r="E48" s="24"/>
    </row>
    <row r="49" spans="1:5">
      <c r="A49" s="12" t="s">
        <v>61</v>
      </c>
      <c r="B49" s="27">
        <v>0.1</v>
      </c>
      <c r="C49" s="26">
        <v>-0.09</v>
      </c>
      <c r="D49" s="23">
        <v>0.1009</v>
      </c>
      <c r="E49" s="24"/>
    </row>
    <row r="50" spans="1:5">
      <c r="A50" s="12" t="s">
        <v>64</v>
      </c>
      <c r="B50" s="27">
        <v>0.25</v>
      </c>
      <c r="C50" s="26">
        <v>-3.3750000000000002E-2</v>
      </c>
      <c r="D50" s="23">
        <v>0.25033699999999998</v>
      </c>
      <c r="E50" s="24"/>
    </row>
    <row r="51" spans="1:5">
      <c r="A51" s="12" t="s">
        <v>67</v>
      </c>
      <c r="B51" s="27">
        <v>-0.15</v>
      </c>
      <c r="C51" s="26">
        <v>-0.29375000000000001</v>
      </c>
      <c r="D51" s="23">
        <v>-0.147062</v>
      </c>
      <c r="E51" s="24"/>
    </row>
    <row r="52" spans="1:5">
      <c r="A52" s="12" t="s">
        <v>72</v>
      </c>
      <c r="B52" s="27">
        <v>0.5</v>
      </c>
      <c r="C52" s="26">
        <v>-0.78500000000000003</v>
      </c>
      <c r="D52" s="23">
        <v>0.50785000000000002</v>
      </c>
      <c r="E52" s="24"/>
    </row>
    <row r="54" spans="1:5" ht="19">
      <c r="A54" s="3"/>
    </row>
    <row r="56" spans="1:5">
      <c r="A56" s="12" t="s">
        <v>143</v>
      </c>
      <c r="B56" s="26">
        <v>0.53893800000000003</v>
      </c>
    </row>
    <row r="57" spans="1:5">
      <c r="A57" s="12" t="s">
        <v>144</v>
      </c>
      <c r="B57" s="23">
        <v>0.52082399999999995</v>
      </c>
    </row>
    <row r="58" spans="1:5">
      <c r="A58" s="12" t="s">
        <v>145</v>
      </c>
      <c r="B58" s="28">
        <v>1.8114000000000002E-2</v>
      </c>
    </row>
  </sheetData>
  <mergeCells count="1">
    <mergeCell ref="A1:F1"/>
  </mergeCells>
  <conditionalFormatting sqref="E1:E10 E12:E27 E29:E100">
    <cfRule type="expression" dxfId="7" priority="5">
      <formula>E1="✓"</formula>
    </cfRule>
    <cfRule type="expression" dxfId="6" priority="6">
      <formula>E1="✗"</formula>
    </cfRule>
  </conditionalFormatting>
  <conditionalFormatting sqref="F1:F42 F44:F100">
    <cfRule type="expression" dxfId="5" priority="7">
      <formula>E1="✓"</formula>
    </cfRule>
    <cfRule type="expression" dxfId="4" priority="7">
      <formula>E1="✗"</formula>
    </cfRule>
  </conditionalFormatting>
  <conditionalFormatting sqref="E11">
    <cfRule type="expression" dxfId="3" priority="3">
      <formula>D11="✓"</formula>
    </cfRule>
    <cfRule type="expression" dxfId="2" priority="-1">
      <formula>D11="✗"</formula>
    </cfRule>
  </conditionalFormatting>
  <conditionalFormatting sqref="E28">
    <cfRule type="expression" dxfId="1" priority="1">
      <formula>D28="✓"</formula>
    </cfRule>
    <cfRule type="expression" dxfId="0" priority="-1">
      <formula>D28="✗"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6"/>
  <sheetViews>
    <sheetView workbookViewId="0"/>
  </sheetViews>
  <sheetFormatPr baseColWidth="10" defaultColWidth="8.83203125" defaultRowHeight="15"/>
  <cols>
    <col min="1" max="1" width="25" customWidth="1"/>
    <col min="2" max="4" width="15" customWidth="1"/>
  </cols>
  <sheetData>
    <row r="1" spans="1:5">
      <c r="A1" s="29" t="s">
        <v>146</v>
      </c>
      <c r="B1" s="30"/>
      <c r="C1" s="30"/>
      <c r="D1" s="30"/>
      <c r="E1" s="30"/>
    </row>
    <row r="2" spans="1:5" ht="23">
      <c r="A2" s="1" t="s">
        <v>147</v>
      </c>
    </row>
    <row r="4" spans="1:5" ht="19">
      <c r="A4" s="3"/>
      <c r="B4" s="12" t="s">
        <v>89</v>
      </c>
      <c r="C4" s="12" t="s">
        <v>89</v>
      </c>
      <c r="D4" s="12" t="s">
        <v>148</v>
      </c>
    </row>
    <row r="5" spans="1:5">
      <c r="A5" t="s">
        <v>149</v>
      </c>
      <c r="B5">
        <v>0.4</v>
      </c>
      <c r="C5">
        <v>0.9</v>
      </c>
      <c r="D5">
        <v>0.9</v>
      </c>
    </row>
    <row r="6" spans="1:5">
      <c r="A6" t="s">
        <v>150</v>
      </c>
      <c r="B6">
        <v>-0.05</v>
      </c>
      <c r="C6">
        <v>0.45</v>
      </c>
      <c r="D6">
        <v>0.45</v>
      </c>
    </row>
    <row r="7" spans="1:5">
      <c r="A7" t="s">
        <v>151</v>
      </c>
      <c r="B7">
        <v>1.2</v>
      </c>
      <c r="C7">
        <v>1.7</v>
      </c>
      <c r="D7">
        <v>1.7</v>
      </c>
    </row>
    <row r="8" spans="1:5">
      <c r="A8" t="s">
        <v>152</v>
      </c>
      <c r="B8">
        <v>0.47499999999999998</v>
      </c>
      <c r="C8">
        <v>0.97499999999999998</v>
      </c>
      <c r="D8">
        <v>0.97499999999999998</v>
      </c>
    </row>
    <row r="9" spans="1:5">
      <c r="A9" t="s">
        <v>153</v>
      </c>
      <c r="B9">
        <v>-0.375</v>
      </c>
      <c r="C9">
        <v>0.125</v>
      </c>
      <c r="D9">
        <v>0.125</v>
      </c>
    </row>
    <row r="10" spans="1:5">
      <c r="A10" t="s">
        <v>154</v>
      </c>
      <c r="B10">
        <v>0.7</v>
      </c>
      <c r="C10">
        <v>1.2</v>
      </c>
      <c r="D10">
        <v>1.2</v>
      </c>
    </row>
    <row r="11" spans="1:5">
      <c r="A11" t="s">
        <v>155</v>
      </c>
      <c r="B11">
        <v>0.45</v>
      </c>
      <c r="C11">
        <v>0.95</v>
      </c>
      <c r="D11">
        <v>0.95</v>
      </c>
    </row>
    <row r="12" spans="1:5">
      <c r="A12" t="s">
        <v>156</v>
      </c>
      <c r="B12">
        <v>0.45</v>
      </c>
      <c r="C12">
        <v>0.95</v>
      </c>
      <c r="D12">
        <v>0.95</v>
      </c>
    </row>
    <row r="13" spans="1:5">
      <c r="A13" t="s">
        <v>157</v>
      </c>
      <c r="B13">
        <v>0.8</v>
      </c>
      <c r="C13">
        <v>1.3</v>
      </c>
      <c r="D13">
        <v>1.3</v>
      </c>
    </row>
    <row r="14" spans="1:5">
      <c r="A14" t="s">
        <v>158</v>
      </c>
      <c r="B14">
        <v>0.4</v>
      </c>
      <c r="C14">
        <v>0.9</v>
      </c>
      <c r="D14">
        <v>0.9</v>
      </c>
    </row>
    <row r="16" spans="1:5" ht="19">
      <c r="A16" s="3"/>
    </row>
    <row r="17" spans="1:2">
      <c r="A17" t="s">
        <v>159</v>
      </c>
      <c r="B17">
        <v>-1.1000000000000001</v>
      </c>
    </row>
    <row r="18" spans="1:2">
      <c r="A18" t="s">
        <v>160</v>
      </c>
      <c r="B18">
        <v>-1.05</v>
      </c>
    </row>
    <row r="19" spans="1:2">
      <c r="A19" t="s">
        <v>161</v>
      </c>
      <c r="B19">
        <v>0.7</v>
      </c>
    </row>
    <row r="20" spans="1:2">
      <c r="A20" t="s">
        <v>162</v>
      </c>
      <c r="B20">
        <v>-1.5249999999999999</v>
      </c>
    </row>
    <row r="21" spans="1:2">
      <c r="A21" t="s">
        <v>163</v>
      </c>
      <c r="B21">
        <v>-1.675</v>
      </c>
    </row>
    <row r="22" spans="1:2">
      <c r="A22" t="s">
        <v>164</v>
      </c>
      <c r="B22">
        <v>-1</v>
      </c>
    </row>
    <row r="23" spans="1:2">
      <c r="A23" t="s">
        <v>165</v>
      </c>
      <c r="B23">
        <v>-0.25</v>
      </c>
    </row>
    <row r="24" spans="1:2">
      <c r="A24" t="s">
        <v>166</v>
      </c>
      <c r="B24">
        <v>-0.75</v>
      </c>
    </row>
    <row r="25" spans="1:2">
      <c r="A25" t="s">
        <v>167</v>
      </c>
      <c r="B25">
        <v>-0.1</v>
      </c>
    </row>
    <row r="26" spans="1:2">
      <c r="A26" t="s">
        <v>168</v>
      </c>
      <c r="B26">
        <v>-1.1000000000000001</v>
      </c>
    </row>
    <row r="28" spans="1:2">
      <c r="A28" t="s">
        <v>169</v>
      </c>
      <c r="B28">
        <v>0.53893800000000003</v>
      </c>
    </row>
    <row r="30" spans="1:2" ht="19">
      <c r="A30" s="3"/>
    </row>
    <row r="32" spans="1:2">
      <c r="A32" s="12" t="s">
        <v>170</v>
      </c>
    </row>
    <row r="33" spans="1:2">
      <c r="A33" t="s">
        <v>171</v>
      </c>
      <c r="B33">
        <v>-0.11</v>
      </c>
    </row>
    <row r="34" spans="1:2">
      <c r="A34" t="s">
        <v>172</v>
      </c>
      <c r="B34">
        <v>-0.105</v>
      </c>
    </row>
    <row r="35" spans="1:2">
      <c r="A35" t="s">
        <v>173</v>
      </c>
      <c r="B35">
        <v>7.0000000000000007E-2</v>
      </c>
    </row>
    <row r="36" spans="1:2">
      <c r="A36" t="s">
        <v>174</v>
      </c>
      <c r="B36">
        <v>-0.1525</v>
      </c>
    </row>
    <row r="37" spans="1:2">
      <c r="A37" t="s">
        <v>175</v>
      </c>
      <c r="B37">
        <v>-0.16750000000000001</v>
      </c>
    </row>
    <row r="38" spans="1:2">
      <c r="A38" t="s">
        <v>176</v>
      </c>
      <c r="B38">
        <v>-0.1</v>
      </c>
    </row>
    <row r="39" spans="1:2">
      <c r="A39" t="s">
        <v>177</v>
      </c>
      <c r="B39">
        <v>-2.5000000000000001E-2</v>
      </c>
    </row>
    <row r="40" spans="1:2">
      <c r="A40" t="s">
        <v>178</v>
      </c>
      <c r="B40">
        <v>-7.4999999999999997E-2</v>
      </c>
    </row>
    <row r="41" spans="1:2">
      <c r="A41" t="s">
        <v>179</v>
      </c>
      <c r="B41">
        <v>-0.01</v>
      </c>
    </row>
    <row r="42" spans="1:2">
      <c r="A42" t="s">
        <v>180</v>
      </c>
      <c r="B42">
        <v>-0.11</v>
      </c>
    </row>
    <row r="44" spans="1:2">
      <c r="A44" s="12" t="s">
        <v>181</v>
      </c>
    </row>
    <row r="45" spans="1:2">
      <c r="A45" t="s">
        <v>121</v>
      </c>
      <c r="B45">
        <v>-0.24249999999999999</v>
      </c>
    </row>
    <row r="46" spans="1:2">
      <c r="A46" t="s">
        <v>123</v>
      </c>
      <c r="B46">
        <v>-0.70374999999999999</v>
      </c>
    </row>
    <row r="47" spans="1:2">
      <c r="A47" t="s">
        <v>125</v>
      </c>
      <c r="B47">
        <v>-0.63875000000000004</v>
      </c>
    </row>
    <row r="48" spans="1:2">
      <c r="A48" t="s">
        <v>127</v>
      </c>
      <c r="B48">
        <v>-9.8750000000000004E-2</v>
      </c>
    </row>
    <row r="49" spans="1:2">
      <c r="A49" t="s">
        <v>129</v>
      </c>
      <c r="B49">
        <v>-0.38624999999999998</v>
      </c>
    </row>
    <row r="50" spans="1:2">
      <c r="A50" t="s">
        <v>131</v>
      </c>
      <c r="B50">
        <v>-0.09</v>
      </c>
    </row>
    <row r="51" spans="1:2">
      <c r="A51" t="s">
        <v>133</v>
      </c>
      <c r="B51">
        <v>-3.3750000000000002E-2</v>
      </c>
    </row>
    <row r="52" spans="1:2">
      <c r="A52" t="s">
        <v>135</v>
      </c>
      <c r="B52">
        <v>-0.29375000000000001</v>
      </c>
    </row>
    <row r="53" spans="1:2">
      <c r="A53" t="s">
        <v>137</v>
      </c>
      <c r="B53">
        <v>-0.78500000000000003</v>
      </c>
    </row>
    <row r="55" spans="1:2" ht="19">
      <c r="A55" s="3"/>
    </row>
    <row r="56" spans="1:2">
      <c r="A56" t="s">
        <v>182</v>
      </c>
      <c r="B56">
        <v>0.20242499999999999</v>
      </c>
    </row>
    <row r="57" spans="1:2">
      <c r="A57" t="s">
        <v>183</v>
      </c>
      <c r="B57">
        <v>0.307037</v>
      </c>
    </row>
    <row r="58" spans="1:2">
      <c r="A58" t="s">
        <v>184</v>
      </c>
      <c r="B58">
        <v>-9.3613000000000002E-2</v>
      </c>
    </row>
    <row r="59" spans="1:2">
      <c r="A59" t="s">
        <v>185</v>
      </c>
      <c r="B59">
        <v>0.40098699999999998</v>
      </c>
    </row>
    <row r="60" spans="1:2">
      <c r="A60" t="s">
        <v>186</v>
      </c>
      <c r="B60">
        <v>-0.19613800000000001</v>
      </c>
    </row>
    <row r="61" spans="1:2">
      <c r="A61" t="s">
        <v>187</v>
      </c>
      <c r="B61">
        <v>0.1009</v>
      </c>
    </row>
    <row r="62" spans="1:2">
      <c r="A62" t="s">
        <v>188</v>
      </c>
      <c r="B62">
        <v>0.25033699999999998</v>
      </c>
    </row>
    <row r="63" spans="1:2">
      <c r="A63" t="s">
        <v>189</v>
      </c>
      <c r="B63">
        <v>-0.147062</v>
      </c>
    </row>
    <row r="64" spans="1:2">
      <c r="A64" t="s">
        <v>190</v>
      </c>
      <c r="B64">
        <v>0.50785000000000002</v>
      </c>
    </row>
    <row r="66" spans="1:2">
      <c r="A66" t="s">
        <v>191</v>
      </c>
      <c r="B66">
        <v>0.52082399999999995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Forward_Propagation</vt:lpstr>
      <vt:lpstr>Backward_Propagation</vt:lpstr>
      <vt:lpstr>Answer_Key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Jihwan Kim</cp:lastModifiedBy>
  <dcterms:created xsi:type="dcterms:W3CDTF">2026-01-20T06:45:12Z</dcterms:created>
  <dcterms:modified xsi:type="dcterms:W3CDTF">2026-02-10T02:06:27Z</dcterms:modified>
</cp:coreProperties>
</file>