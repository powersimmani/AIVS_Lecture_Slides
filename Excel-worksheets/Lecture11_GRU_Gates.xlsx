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Forward" sheetId="3" state="visible" r:id="rId3"/>
    <sheet xmlns:r="http://schemas.openxmlformats.org/officeDocument/2006/relationships" name="Gate_Visualization" sheetId="4" state="visible" r:id="rId4"/>
    <sheet xmlns:r="http://schemas.openxmlformats.org/officeDocument/2006/relationships" name="GRU_vs_LSTM" sheetId="5" state="visible" r:id="rId5"/>
    <sheet xmlns:r="http://schemas.openxmlformats.org/officeDocument/2006/relationships" name="Backward" sheetId="6" state="visible" r:id="rId6"/>
    <sheet xmlns:r="http://schemas.openxmlformats.org/officeDocument/2006/relationships" name="Answer_Ke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505050"/>
      <sz val="10"/>
    </font>
  </fonts>
  <fills count="1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DAEEF3"/>
        <bgColor rgb="00DAEEF3"/>
      </patternFill>
    </fill>
    <fill>
      <patternFill patternType="solid">
        <fgColor rgb="00FFB3B3"/>
        <bgColor rgb="00FFB3B3"/>
      </patternFill>
    </fill>
    <fill>
      <patternFill patternType="solid">
        <fgColor rgb="00FFFACD"/>
        <bgColor rgb="00FFFACD"/>
      </patternFill>
    </fill>
    <fill>
      <patternFill patternType="solid">
        <fgColor rgb="00B3FFB3"/>
        <bgColor rgb="00B3FFB3"/>
      </patternFill>
    </fill>
    <fill>
      <patternFill patternType="solid">
        <fgColor rgb="00D5A6BD"/>
        <bgColor rgb="00D5A6BD"/>
      </patternFill>
    </fill>
    <fill>
      <patternFill patternType="solid">
        <fgColor rgb="00C9DAF8"/>
        <bgColor rgb="00C9DAF8"/>
      </patternFill>
    </fill>
    <fill>
      <patternFill patternType="solid">
        <fgColor rgb="00FFF2CC"/>
        <bgColor rgb="00FFF2CC"/>
      </patternFill>
    </fill>
    <fill>
      <patternFill patternType="solid">
        <fgColor rgb="00E4DFEC"/>
        <bgColor rgb="00E4DFEC"/>
      </patternFill>
    </fill>
    <fill>
      <patternFill patternType="solid">
        <fgColor rgb="00D8E4BC"/>
        <bgColor rgb="00D8E4BC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  <fill>
      <patternFill patternType="solid">
        <fgColor rgb="00F0F8FF"/>
        <bgColor rgb="00F0F8F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4" borderId="1" applyAlignment="1" pivotButton="0" quotePrefix="0" xfId="0">
      <alignment horizontal="center" vertical="center"/>
    </xf>
    <xf numFmtId="0" fontId="0" fillId="5" borderId="0" pivotButton="0" quotePrefix="0" xfId="0"/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2" borderId="0" pivotButton="0" quotePrefix="0" xfId="0"/>
    <xf numFmtId="0" fontId="1" fillId="9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  <xf numFmtId="0" fontId="0" fillId="4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1" fillId="12" borderId="1" applyAlignment="1" pivotButton="0" quotePrefix="0" xfId="0">
      <alignment horizontal="center" vertical="center"/>
    </xf>
    <xf numFmtId="0" fontId="1" fillId="13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0" borderId="0" pivotButton="0" quotePrefix="0" xfId="0"/>
    <xf numFmtId="0" fontId="0" fillId="12" borderId="1" applyAlignment="1" pivotButton="0" quotePrefix="0" xfId="0">
      <alignment horizontal="center" vertical="center"/>
    </xf>
    <xf numFmtId="0" fontId="2" fillId="14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</cols>
  <sheetData>
    <row r="1">
      <c r="A1" s="33" t="inlineStr">
        <is>
          <t>[Description] Gated Recurrent Unit (GRU) - simplified variant of LSTM with only 2 gates, fewer parameters but similar performance.</t>
        </is>
      </c>
    </row>
    <row r="2">
      <c r="B2" s="1" t="inlineStr">
        <is>
          <t>GRU (Gated Recurrent Unit)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4" t="n"/>
    </row>
    <row r="4">
      <c r="B4" s="2" t="inlineStr">
        <is>
          <t>═══ GRU: Simplified Version of LSTM ═══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4" t="n"/>
    </row>
    <row r="6">
      <c r="B6" t="inlineStr">
        <is>
          <t>• Reduced LSTM's 4 gates to 2 (Reset, Update)</t>
        </is>
      </c>
    </row>
    <row r="7">
      <c r="B7" t="inlineStr">
        <is>
          <t>• Use only Hidden State without Cell State</t>
        </is>
      </c>
    </row>
    <row r="8">
      <c r="B8" t="inlineStr">
        <is>
          <t>• Similar performance with fewer parameters</t>
        </is>
      </c>
    </row>
    <row r="9">
      <c r="B9" t="inlineStr">
        <is>
          <t>• Faster learning and more computationally efficient</t>
        </is>
      </c>
    </row>
    <row r="12">
      <c r="B12" s="1" t="inlineStr">
        <is>
          <t>═══ GRU Architecture ═══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4" t="n"/>
    </row>
    <row r="14">
      <c r="B14" s="5" t="inlineStr">
        <is>
          <t>Reset Gate (r_t)</t>
        </is>
      </c>
      <c r="F14" t="inlineStr">
        <is>
          <t>How much to forget past information</t>
        </is>
      </c>
      <c r="M14" s="6" t="inlineStr">
        <is>
          <t>σ(W_r·[h_{t-1}, x_t] + b_r)</t>
        </is>
      </c>
    </row>
    <row r="15">
      <c r="B15" s="7" t="inlineStr">
        <is>
          <t>Update Gate (z_t)</t>
        </is>
      </c>
      <c r="F15" t="inlineStr">
        <is>
          <t>Ratio of past and new information</t>
        </is>
      </c>
      <c r="M15" s="6" t="inlineStr">
        <is>
          <t>σ(W_z·[h_{t-1}, x_t] + b_z)</t>
        </is>
      </c>
    </row>
    <row r="16">
      <c r="B16" s="8" t="inlineStr">
        <is>
          <t>Candidate (h̃_t)</t>
        </is>
      </c>
      <c r="F16" t="inlineStr">
        <is>
          <t>New candidate hidden state</t>
        </is>
      </c>
      <c r="M16" s="6" t="inlineStr">
        <is>
          <t>tanh(W_h·[r_t⊙h_{t-1}, x_t] + b_h)</t>
        </is>
      </c>
    </row>
    <row r="19">
      <c r="B19" s="1" t="inlineStr">
        <is>
          <t>═══ Hidden State Update ═══</t>
        </is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4" t="n"/>
    </row>
    <row r="21">
      <c r="B21" s="9" t="inlineStr">
        <is>
          <t>h_t = (1 - z_t) ⊙ h_{t-1} + z_t ⊙ h̃_t</t>
        </is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4" t="n"/>
    </row>
    <row r="23">
      <c r="B23" t="inlineStr">
        <is>
          <t>• (1 - z_t): Ratio of preserving past information</t>
        </is>
      </c>
    </row>
    <row r="24">
      <c r="B24" t="inlineStr">
        <is>
          <t>• z_t: Ratio of new information</t>
        </is>
      </c>
    </row>
    <row r="25">
      <c r="B25" t="inlineStr">
        <is>
          <t>• z_t ≈ 0: Keep past info (h_t ≈ h_{t-1})</t>
        </is>
      </c>
    </row>
    <row r="26">
      <c r="B26" t="inlineStr">
        <is>
          <t>• z_t ≈ 1: Replace with new info (h_t ≈ h̃_t)</t>
        </is>
      </c>
    </row>
    <row r="29">
      <c r="B29" s="1" t="inlineStr">
        <is>
          <t>═══ GRU Cell Diagram ═══</t>
        </is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4" t="n"/>
    </row>
    <row r="31">
      <c r="D31" s="10" t="inlineStr">
        <is>
          <t>h_{t-1}</t>
        </is>
      </c>
      <c r="E31" s="11" t="inlineStr">
        <is>
          <t>────→</t>
        </is>
      </c>
      <c r="G31" s="12" t="inlineStr">
        <is>
          <t>×(1-z_t)</t>
        </is>
      </c>
      <c r="I31" s="11" t="inlineStr">
        <is>
          <t>───────→</t>
        </is>
      </c>
      <c r="K31" s="11" t="inlineStr">
        <is>
          <t>+</t>
        </is>
      </c>
      <c r="L31" s="11" t="inlineStr">
        <is>
          <t>──→</t>
        </is>
      </c>
      <c r="M31" s="10" t="inlineStr">
        <is>
          <t>h_t</t>
        </is>
      </c>
    </row>
    <row r="32">
      <c r="D32" s="11" t="inlineStr">
        <is>
          <t>│</t>
        </is>
      </c>
      <c r="K32" s="11" t="inlineStr">
        <is>
          <t>↑</t>
        </is>
      </c>
    </row>
    <row r="33">
      <c r="D33" s="13" t="inlineStr">
        <is>
          <t>×r_t</t>
        </is>
      </c>
      <c r="E33" s="11" t="inlineStr">
        <is>
          <t>──→</t>
        </is>
      </c>
      <c r="G33" s="14" t="inlineStr">
        <is>
          <t>h̃_t</t>
        </is>
      </c>
      <c r="H33" s="11" t="inlineStr">
        <is>
          <t>──→</t>
        </is>
      </c>
      <c r="I33" s="12" t="inlineStr">
        <is>
          <t>×z_t</t>
        </is>
      </c>
      <c r="J33" s="11" t="inlineStr">
        <is>
          <t>──↗</t>
        </is>
      </c>
    </row>
    <row r="35">
      <c r="D35" s="15" t="inlineStr">
        <is>
          <t>x_t</t>
        </is>
      </c>
      <c r="E35" s="11" t="inlineStr">
        <is>
          <t>──→</t>
        </is>
      </c>
      <c r="F35" s="16" t="inlineStr">
        <is>
          <t>[concat]</t>
        </is>
      </c>
      <c r="G35" s="11" t="inlineStr">
        <is>
          <t>──→</t>
        </is>
      </c>
      <c r="H35" s="17" t="inlineStr">
        <is>
          <t>r_t, z_t</t>
        </is>
      </c>
    </row>
    <row r="38">
      <c r="B38" s="2" t="inlineStr">
        <is>
          <t>Input: 'this movie is good' (y_true = 1)</t>
        </is>
      </c>
    </row>
    <row r="39">
      <c r="B39" s="18" t="inlineStr">
        <is>
          <t>Embedding dim: 4, Hidden dim: 3</t>
        </is>
      </c>
    </row>
  </sheetData>
  <mergeCells count="7">
    <mergeCell ref="A1:J1"/>
    <mergeCell ref="B19:T19"/>
    <mergeCell ref="B21:N21"/>
    <mergeCell ref="B2:AE2"/>
    <mergeCell ref="B4:T4"/>
    <mergeCell ref="B12:T12"/>
    <mergeCell ref="B29:T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4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s="33" t="inlineStr">
        <is>
          <t>[Description] GRU parameters: Reset gate, Update gate weights and biases. Simpler than LSTM (no separate cell state).</t>
        </is>
      </c>
    </row>
    <row r="2">
      <c r="B2" s="1" t="inlineStr">
        <is>
          <t>GRU Parameters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4" t="n"/>
    </row>
    <row r="4">
      <c r="B4" s="19" t="inlineStr">
        <is>
          <t>═══ Embedding ═══</t>
        </is>
      </c>
      <c r="C4" s="3" t="n"/>
      <c r="D4" s="3" t="n"/>
      <c r="E4" s="3" t="n"/>
      <c r="F4" s="3" t="n"/>
      <c r="G4" s="3" t="n"/>
      <c r="H4" s="3" t="n"/>
      <c r="I4" s="3" t="n"/>
      <c r="J4" s="4" t="n"/>
    </row>
    <row r="6">
      <c r="B6" s="20" t="inlineStr">
        <is>
          <t>this</t>
        </is>
      </c>
      <c r="D6" s="15" t="n">
        <v>0.2</v>
      </c>
      <c r="E6" s="15" t="n">
        <v>0.1</v>
      </c>
      <c r="F6" s="15" t="n">
        <v>-0.1</v>
      </c>
      <c r="G6" s="15" t="n">
        <v>0.3</v>
      </c>
    </row>
    <row r="7">
      <c r="B7" s="20" t="inlineStr">
        <is>
          <t>movie</t>
        </is>
      </c>
      <c r="D7" s="15" t="n">
        <v>0.5</v>
      </c>
      <c r="E7" s="15" t="n">
        <v>0.3</v>
      </c>
      <c r="F7" s="15" t="n">
        <v>0.2</v>
      </c>
      <c r="G7" s="15" t="n">
        <v>-0.1</v>
      </c>
    </row>
    <row r="8">
      <c r="B8" s="20" t="inlineStr">
        <is>
          <t>is</t>
        </is>
      </c>
      <c r="D8" s="15" t="n">
        <v>-0.1</v>
      </c>
      <c r="E8" s="15" t="n">
        <v>0.2</v>
      </c>
      <c r="F8" s="15" t="n">
        <v>0.1</v>
      </c>
      <c r="G8" s="15" t="n">
        <v>0.1</v>
      </c>
    </row>
    <row r="9">
      <c r="B9" s="20" t="inlineStr">
        <is>
          <t>good</t>
        </is>
      </c>
      <c r="D9" s="15" t="n">
        <v>0.6</v>
      </c>
      <c r="E9" s="15" t="n">
        <v>0.5</v>
      </c>
      <c r="F9" s="15" t="n">
        <v>0.4</v>
      </c>
      <c r="G9" s="15" t="n">
        <v>0.3</v>
      </c>
    </row>
    <row r="12">
      <c r="B12" s="5" t="inlineStr">
        <is>
          <t>═══ Reset Gate (W_r, b_r) ═══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4" t="n"/>
    </row>
    <row r="14">
      <c r="B14" s="5" t="inlineStr">
        <is>
          <t>W (3×7):</t>
        </is>
      </c>
    </row>
    <row r="15">
      <c r="B15" s="16" t="inlineStr">
        <is>
          <t>h[0]</t>
        </is>
      </c>
      <c r="C15" s="16" t="inlineStr">
        <is>
          <t>h[1]</t>
        </is>
      </c>
      <c r="D15" s="16" t="inlineStr">
        <is>
          <t>h[2]</t>
        </is>
      </c>
      <c r="E15" s="16" t="inlineStr">
        <is>
          <t>x[0]</t>
        </is>
      </c>
      <c r="F15" s="16" t="inlineStr">
        <is>
          <t>x[1]</t>
        </is>
      </c>
      <c r="G15" s="16" t="inlineStr">
        <is>
          <t>x[2]</t>
        </is>
      </c>
      <c r="H15" s="16" t="inlineStr">
        <is>
          <t>x[3]</t>
        </is>
      </c>
    </row>
    <row r="16">
      <c r="B16" s="13" t="n">
        <v>0.2</v>
      </c>
      <c r="C16" s="13" t="n">
        <v>-0.1</v>
      </c>
      <c r="D16" s="13" t="n">
        <v>0.1</v>
      </c>
      <c r="E16" s="13" t="n">
        <v>0.3</v>
      </c>
      <c r="F16" s="13" t="n">
        <v>-0.2</v>
      </c>
      <c r="G16" s="13" t="n">
        <v>0.1</v>
      </c>
      <c r="H16" s="13" t="n">
        <v>0.2</v>
      </c>
    </row>
    <row r="17">
      <c r="B17" s="13" t="n">
        <v>0.1</v>
      </c>
      <c r="C17" s="13" t="n">
        <v>0.3</v>
      </c>
      <c r="D17" s="13" t="n">
        <v>-0.2</v>
      </c>
      <c r="E17" s="13" t="n">
        <v>-0.1</v>
      </c>
      <c r="F17" s="13" t="n">
        <v>0.2</v>
      </c>
      <c r="G17" s="13" t="n">
        <v>0.3</v>
      </c>
      <c r="H17" s="13" t="n">
        <v>-0.1</v>
      </c>
    </row>
    <row r="18">
      <c r="B18" s="13" t="n">
        <v>-0.1</v>
      </c>
      <c r="C18" s="13" t="n">
        <v>0.2</v>
      </c>
      <c r="D18" s="13" t="n">
        <v>0.2</v>
      </c>
      <c r="E18" s="13" t="n">
        <v>0.1</v>
      </c>
      <c r="F18" s="13" t="n">
        <v>0.1</v>
      </c>
      <c r="G18" s="13" t="n">
        <v>-0.2</v>
      </c>
      <c r="H18" s="13" t="n">
        <v>0.3</v>
      </c>
    </row>
    <row r="20">
      <c r="B20" s="5" t="inlineStr">
        <is>
          <t>b:</t>
        </is>
      </c>
      <c r="D20" s="13" t="n">
        <v>0</v>
      </c>
      <c r="E20" s="13" t="n">
        <v>0</v>
      </c>
      <c r="F20" s="13" t="n">
        <v>0</v>
      </c>
    </row>
    <row r="22">
      <c r="B22" s="7" t="inlineStr">
        <is>
          <t>═══ Update Gate (W_z, b_z) ═══</t>
        </is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4" t="n"/>
    </row>
    <row r="24">
      <c r="B24" s="7" t="inlineStr">
        <is>
          <t>W (3×7):</t>
        </is>
      </c>
    </row>
    <row r="25">
      <c r="B25" s="16" t="inlineStr">
        <is>
          <t>h[0]</t>
        </is>
      </c>
      <c r="C25" s="16" t="inlineStr">
        <is>
          <t>h[1]</t>
        </is>
      </c>
      <c r="D25" s="16" t="inlineStr">
        <is>
          <t>h[2]</t>
        </is>
      </c>
      <c r="E25" s="16" t="inlineStr">
        <is>
          <t>x[0]</t>
        </is>
      </c>
      <c r="F25" s="16" t="inlineStr">
        <is>
          <t>x[1]</t>
        </is>
      </c>
      <c r="G25" s="16" t="inlineStr">
        <is>
          <t>x[2]</t>
        </is>
      </c>
      <c r="H25" s="16" t="inlineStr">
        <is>
          <t>x[3]</t>
        </is>
      </c>
    </row>
    <row r="26">
      <c r="B26" s="12" t="n">
        <v>0.3</v>
      </c>
      <c r="C26" s="12" t="n">
        <v>-0.2</v>
      </c>
      <c r="D26" s="12" t="n">
        <v>0.1</v>
      </c>
      <c r="E26" s="12" t="n">
        <v>0.2</v>
      </c>
      <c r="F26" s="12" t="n">
        <v>0.1</v>
      </c>
      <c r="G26" s="12" t="n">
        <v>-0.1</v>
      </c>
      <c r="H26" s="12" t="n">
        <v>0.3</v>
      </c>
    </row>
    <row r="27">
      <c r="B27" s="12" t="n">
        <v>-0.1</v>
      </c>
      <c r="C27" s="12" t="n">
        <v>0.2</v>
      </c>
      <c r="D27" s="12" t="n">
        <v>0.3</v>
      </c>
      <c r="E27" s="12" t="n">
        <v>0.1</v>
      </c>
      <c r="F27" s="12" t="n">
        <v>-0.2</v>
      </c>
      <c r="G27" s="12" t="n">
        <v>0.2</v>
      </c>
      <c r="H27" s="12" t="n">
        <v>0.1</v>
      </c>
    </row>
    <row r="28">
      <c r="B28" s="12" t="n">
        <v>0.2</v>
      </c>
      <c r="C28" s="12" t="n">
        <v>0.1</v>
      </c>
      <c r="D28" s="12" t="n">
        <v>-0.1</v>
      </c>
      <c r="E28" s="12" t="n">
        <v>0.3</v>
      </c>
      <c r="F28" s="12" t="n">
        <v>0.2</v>
      </c>
      <c r="G28" s="12" t="n">
        <v>0.1</v>
      </c>
      <c r="H28" s="12" t="n">
        <v>-0.2</v>
      </c>
    </row>
    <row r="30">
      <c r="B30" s="7" t="inlineStr">
        <is>
          <t>b:</t>
        </is>
      </c>
      <c r="D30" s="12" t="n">
        <v>0</v>
      </c>
      <c r="E30" s="12" t="n">
        <v>0</v>
      </c>
      <c r="F30" s="12" t="n">
        <v>0</v>
      </c>
    </row>
    <row r="32">
      <c r="B32" s="8" t="inlineStr">
        <is>
          <t>═══ Candidate (W_h, b_h) ═══</t>
        </is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4" t="n"/>
    </row>
    <row r="34">
      <c r="B34" s="8" t="inlineStr">
        <is>
          <t>W (3×7):</t>
        </is>
      </c>
    </row>
    <row r="35">
      <c r="B35" s="16" t="inlineStr">
        <is>
          <t>h[0]</t>
        </is>
      </c>
      <c r="C35" s="16" t="inlineStr">
        <is>
          <t>h[1]</t>
        </is>
      </c>
      <c r="D35" s="16" t="inlineStr">
        <is>
          <t>h[2]</t>
        </is>
      </c>
      <c r="E35" s="16" t="inlineStr">
        <is>
          <t>x[0]</t>
        </is>
      </c>
      <c r="F35" s="16" t="inlineStr">
        <is>
          <t>x[1]</t>
        </is>
      </c>
      <c r="G35" s="16" t="inlineStr">
        <is>
          <t>x[2]</t>
        </is>
      </c>
      <c r="H35" s="16" t="inlineStr">
        <is>
          <t>x[3]</t>
        </is>
      </c>
    </row>
    <row r="36">
      <c r="B36" s="14" t="n">
        <v>0.1</v>
      </c>
      <c r="C36" s="14" t="n">
        <v>0.2</v>
      </c>
      <c r="D36" s="14" t="n">
        <v>-0.1</v>
      </c>
      <c r="E36" s="14" t="n">
        <v>0.2</v>
      </c>
      <c r="F36" s="14" t="n">
        <v>-0.1</v>
      </c>
      <c r="G36" s="14" t="n">
        <v>0.3</v>
      </c>
      <c r="H36" s="14" t="n">
        <v>0.1</v>
      </c>
    </row>
    <row r="37">
      <c r="B37" s="14" t="n">
        <v>0.2</v>
      </c>
      <c r="C37" s="14" t="n">
        <v>-0.1</v>
      </c>
      <c r="D37" s="14" t="n">
        <v>0.2</v>
      </c>
      <c r="E37" s="14" t="n">
        <v>0.1</v>
      </c>
      <c r="F37" s="14" t="n">
        <v>0.2</v>
      </c>
      <c r="G37" s="14" t="n">
        <v>-0.2</v>
      </c>
      <c r="H37" s="14" t="n">
        <v>0.2</v>
      </c>
    </row>
    <row r="38">
      <c r="B38" s="14" t="n">
        <v>-0.1</v>
      </c>
      <c r="C38" s="14" t="n">
        <v>0.3</v>
      </c>
      <c r="D38" s="14" t="n">
        <v>0.1</v>
      </c>
      <c r="E38" s="14" t="n">
        <v>-0.2</v>
      </c>
      <c r="F38" s="14" t="n">
        <v>0.1</v>
      </c>
      <c r="G38" s="14" t="n">
        <v>0.2</v>
      </c>
      <c r="H38" s="14" t="n">
        <v>-0.1</v>
      </c>
    </row>
    <row r="40">
      <c r="B40" s="8" t="inlineStr">
        <is>
          <t>b:</t>
        </is>
      </c>
      <c r="D40" s="14" t="n">
        <v>0</v>
      </c>
      <c r="E40" s="14" t="n">
        <v>0</v>
      </c>
      <c r="F40" s="14" t="n">
        <v>0</v>
      </c>
    </row>
    <row r="42">
      <c r="B42" s="21" t="inlineStr">
        <is>
          <t>═══ Output Layer ═══</t>
        </is>
      </c>
      <c r="C42" s="3" t="n"/>
      <c r="D42" s="3" t="n"/>
      <c r="E42" s="3" t="n"/>
      <c r="F42" s="3" t="n"/>
      <c r="G42" s="3" t="n"/>
      <c r="H42" s="3" t="n"/>
      <c r="I42" s="3" t="n"/>
      <c r="J42" s="4" t="n"/>
    </row>
    <row r="44">
      <c r="B44" s="22" t="inlineStr">
        <is>
          <t>W_hy:</t>
        </is>
      </c>
      <c r="D44" s="22" t="n">
        <v>0.5</v>
      </c>
      <c r="E44" s="22" t="n">
        <v>-0.3</v>
      </c>
      <c r="F44" s="22" t="n">
        <v>0.4</v>
      </c>
      <c r="H44" s="22" t="inlineStr">
        <is>
          <t>b_y:</t>
        </is>
      </c>
      <c r="I44" s="22" t="n">
        <v>0.1</v>
      </c>
    </row>
  </sheetData>
  <mergeCells count="7">
    <mergeCell ref="B22:N22"/>
    <mergeCell ref="A1:J1"/>
    <mergeCell ref="B42:J42"/>
    <mergeCell ref="B32:N32"/>
    <mergeCell ref="B12:N12"/>
    <mergeCell ref="B2:AH2"/>
    <mergeCell ref="B4:J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6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</cols>
  <sheetData>
    <row r="1">
      <c r="A1" s="33" t="inlineStr">
        <is>
          <t>[Description] GRU forward: Reset gate controls how much past to forget, Update gate controls how much new info to add.</t>
        </is>
      </c>
    </row>
    <row r="2">
      <c r="B2" s="23" t="inlineStr">
        <is>
          <t>GRU Forward Pass (Detailed)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4" t="n"/>
    </row>
    <row r="4">
      <c r="B4" s="1" t="inlineStr">
        <is>
          <t>═══ GRU Equations ═══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4" t="n"/>
    </row>
    <row r="6">
      <c r="B6" s="5" t="inlineStr">
        <is>
          <t>Reset Gate</t>
        </is>
      </c>
      <c r="E6" s="24" t="inlineStr">
        <is>
          <t>r_t = σ(W_r·[h_{t-1}, x_t] + b_r)</t>
        </is>
      </c>
    </row>
    <row r="7">
      <c r="B7" s="7" t="inlineStr">
        <is>
          <t>Update Gate</t>
        </is>
      </c>
      <c r="E7" s="25" t="inlineStr">
        <is>
          <t>z_t = σ(W_z·[h_{t-1}, x_t] + b_z)</t>
        </is>
      </c>
    </row>
    <row r="8">
      <c r="B8" s="8" t="inlineStr">
        <is>
          <t>Candidate</t>
        </is>
      </c>
      <c r="E8" s="26" t="inlineStr">
        <is>
          <t>h̃_t = tanh(W_h·[r_t⊙h_{t-1}, x_t] + b_h)</t>
        </is>
      </c>
    </row>
    <row r="9">
      <c r="B9" s="9" t="inlineStr">
        <is>
          <t>Hidden State</t>
        </is>
      </c>
      <c r="E9" s="27" t="inlineStr">
        <is>
          <t>h_t = (1-z_t)⊙h_{t-1} + z_t⊙h̃_t</t>
        </is>
      </c>
    </row>
    <row r="12">
      <c r="B12" s="2" t="inlineStr">
        <is>
          <t>═══ t=0: 'this' ═══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4" t="n"/>
    </row>
    <row r="14">
      <c r="B14" s="19" t="inlineStr">
        <is>
          <t>x_t =</t>
        </is>
      </c>
      <c r="D14" s="15" t="n">
        <v>0.2</v>
      </c>
      <c r="E14" s="15" t="n">
        <v>0.1</v>
      </c>
      <c r="F14" s="15" t="n">
        <v>-0.1</v>
      </c>
      <c r="G14" s="15" t="n">
        <v>0.3</v>
      </c>
    </row>
    <row r="15">
      <c r="B15" s="9" t="inlineStr">
        <is>
          <t>h_{t-1} =</t>
        </is>
      </c>
      <c r="D15" s="10" t="n">
        <v>0</v>
      </c>
      <c r="E15" s="10" t="n">
        <v>0</v>
      </c>
      <c r="F15" s="10" t="n">
        <v>0</v>
      </c>
    </row>
    <row r="17">
      <c r="B17" s="16" t="inlineStr">
        <is>
          <t>[h_{t-1}, x_t] =</t>
        </is>
      </c>
      <c r="E17" s="16" t="n">
        <v>0</v>
      </c>
      <c r="F17" s="16" t="n">
        <v>0</v>
      </c>
      <c r="G17" s="16" t="n">
        <v>0</v>
      </c>
      <c r="H17" s="16" t="n">
        <v>0.2</v>
      </c>
      <c r="I17" s="16" t="n">
        <v>0.1</v>
      </c>
      <c r="J17" s="16" t="n">
        <v>-0.1</v>
      </c>
      <c r="K17" s="16" t="n">
        <v>0.3</v>
      </c>
    </row>
    <row r="19">
      <c r="B19" s="5" t="inlineStr">
        <is>
          <t>① Reset Gate r_t = σ(W_r·[h,x] + b_r):</t>
        </is>
      </c>
    </row>
    <row r="20">
      <c r="B20" s="13" t="inlineStr">
        <is>
          <t xml:space="preserve">  r[0]</t>
        </is>
      </c>
      <c r="D20">
        <f> σ(0.09) = 0.5225</f>
        <v/>
      </c>
    </row>
    <row r="21">
      <c r="B21" s="13" t="inlineStr">
        <is>
          <t xml:space="preserve">  r[1]</t>
        </is>
      </c>
      <c r="D21">
        <f> σ(-0.06) = 0.485</f>
        <v/>
      </c>
    </row>
    <row r="22">
      <c r="B22" s="13" t="inlineStr">
        <is>
          <t xml:space="preserve">  r[2]</t>
        </is>
      </c>
      <c r="D22">
        <f> σ(0.14) = 0.5349</f>
        <v/>
      </c>
    </row>
    <row r="24">
      <c r="B24" s="7" t="inlineStr">
        <is>
          <t>② Update Gate z_t = σ(W_z·[h,x] + b_z):</t>
        </is>
      </c>
    </row>
    <row r="25">
      <c r="B25" s="12" t="inlineStr">
        <is>
          <t xml:space="preserve">  z[0]</t>
        </is>
      </c>
      <c r="D25">
        <f> σ(0.15) = 0.5374</f>
        <v/>
      </c>
    </row>
    <row r="26">
      <c r="B26" s="12" t="inlineStr">
        <is>
          <t xml:space="preserve">  z[1]</t>
        </is>
      </c>
      <c r="D26">
        <f> σ(0.01) = 0.5025</f>
        <v/>
      </c>
    </row>
    <row r="27">
      <c r="B27" s="12" t="inlineStr">
        <is>
          <t xml:space="preserve">  z[2]</t>
        </is>
      </c>
      <c r="D27">
        <f> σ(0.01) = 0.5025</f>
        <v/>
      </c>
    </row>
    <row r="29">
      <c r="B29" s="5" t="inlineStr">
        <is>
          <t>③ r_t ⊙ h_{t-1}:</t>
        </is>
      </c>
    </row>
    <row r="30">
      <c r="B30" s="13" t="inlineStr">
        <is>
          <t xml:space="preserve">  [0]</t>
        </is>
      </c>
      <c r="D30">
        <f> 0.5225 × 0.0 = 0.0</f>
        <v/>
      </c>
    </row>
    <row r="31">
      <c r="B31" s="13" t="inlineStr">
        <is>
          <t xml:space="preserve">  [1]</t>
        </is>
      </c>
      <c r="D31">
        <f> 0.485 × 0.0 = 0.0</f>
        <v/>
      </c>
    </row>
    <row r="32">
      <c r="B32" s="13" t="inlineStr">
        <is>
          <t xml:space="preserve">  [2]</t>
        </is>
      </c>
      <c r="D32">
        <f> 0.5349 × 0.0 = 0.0</f>
        <v/>
      </c>
    </row>
    <row r="34">
      <c r="B34" s="8" t="inlineStr">
        <is>
          <t>④ Candidate h̃_t = tanh(W_h·[r⊙h, x] + b_h):</t>
        </is>
      </c>
    </row>
    <row r="35">
      <c r="B35" s="14" t="inlineStr">
        <is>
          <t xml:space="preserve">  h̃[0]</t>
        </is>
      </c>
      <c r="D35">
        <f> tanh(0.03) = 0.03</f>
        <v/>
      </c>
    </row>
    <row r="36">
      <c r="B36" s="14" t="inlineStr">
        <is>
          <t xml:space="preserve">  h̃[1]</t>
        </is>
      </c>
      <c r="D36">
        <f> tanh(0.12) = 0.1194</f>
        <v/>
      </c>
    </row>
    <row r="37">
      <c r="B37" s="14" t="inlineStr">
        <is>
          <t xml:space="preserve">  h̃[2]</t>
        </is>
      </c>
      <c r="D37">
        <f> tanh(-0.08) = -0.0798</f>
        <v/>
      </c>
    </row>
    <row r="39">
      <c r="B39" s="9" t="inlineStr">
        <is>
          <t>⑤ h_t = (1-z_t)⊙h_{t-1} + z_t⊙h̃_t:</t>
        </is>
      </c>
    </row>
    <row r="40">
      <c r="B40" s="10" t="inlineStr">
        <is>
          <t xml:space="preserve">  h[0]</t>
        </is>
      </c>
      <c r="D40">
        <f> (1-0.5374)×0.0 + 0.5374×0.03</f>
        <v/>
      </c>
      <c r="R40" s="10">
        <f> 0.0161</f>
        <v/>
      </c>
    </row>
    <row r="41">
      <c r="B41" s="10" t="inlineStr">
        <is>
          <t xml:space="preserve">  h[1]</t>
        </is>
      </c>
      <c r="D41">
        <f> (1-0.5025)×0.0 + 0.5025×0.1194</f>
        <v/>
      </c>
      <c r="R41" s="10">
        <f> 0.06</f>
        <v/>
      </c>
    </row>
    <row r="42">
      <c r="B42" s="10" t="inlineStr">
        <is>
          <t xml:space="preserve">  h[2]</t>
        </is>
      </c>
      <c r="D42">
        <f> (1-0.5025)×0.0 + 0.5025×-0.0798</f>
        <v/>
      </c>
      <c r="R42" s="10">
        <f> -0.0401</f>
        <v/>
      </c>
    </row>
    <row r="45">
      <c r="B45" s="9" t="inlineStr">
        <is>
          <t>→ h_t =</t>
        </is>
      </c>
      <c r="E45" s="10" t="n">
        <v>0.0161</v>
      </c>
      <c r="F45" s="10" t="n">
        <v>0.06</v>
      </c>
      <c r="G45" s="10" t="n">
        <v>-0.0401</v>
      </c>
    </row>
    <row r="48">
      <c r="B48" s="2" t="inlineStr">
        <is>
          <t>═══ t=1: 'movie' ═══</t>
        </is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4" t="n"/>
    </row>
    <row r="50">
      <c r="B50" s="19" t="inlineStr">
        <is>
          <t>x_t =</t>
        </is>
      </c>
      <c r="D50" s="15" t="n">
        <v>0.5</v>
      </c>
      <c r="E50" s="15" t="n">
        <v>0.3</v>
      </c>
      <c r="F50" s="15" t="n">
        <v>0.2</v>
      </c>
      <c r="G50" s="15" t="n">
        <v>-0.1</v>
      </c>
    </row>
    <row r="51">
      <c r="B51" s="9" t="inlineStr">
        <is>
          <t>h_{t-1} =</t>
        </is>
      </c>
      <c r="D51" s="10" t="n">
        <v>0.0161</v>
      </c>
      <c r="E51" s="10" t="n">
        <v>0.06</v>
      </c>
      <c r="F51" s="10" t="n">
        <v>-0.0401</v>
      </c>
    </row>
    <row r="53">
      <c r="B53" s="16" t="inlineStr">
        <is>
          <t>[h_{t-1}, x_t] =</t>
        </is>
      </c>
      <c r="E53" s="16" t="n">
        <v>0.0161</v>
      </c>
      <c r="F53" s="16" t="n">
        <v>0.06</v>
      </c>
      <c r="G53" s="16" t="n">
        <v>-0.0401</v>
      </c>
      <c r="H53" s="16" t="n">
        <v>0.5</v>
      </c>
      <c r="I53" s="16" t="n">
        <v>0.3</v>
      </c>
      <c r="J53" s="16" t="n">
        <v>0.2</v>
      </c>
      <c r="K53" s="16" t="n">
        <v>-0.1</v>
      </c>
    </row>
    <row r="55">
      <c r="B55" s="5" t="inlineStr">
        <is>
          <t>① Reset Gate r_t = σ(W_r·[h,x] + b_r):</t>
        </is>
      </c>
    </row>
    <row r="56">
      <c r="B56" s="13" t="inlineStr">
        <is>
          <t xml:space="preserve">  r[0]</t>
        </is>
      </c>
      <c r="D56">
        <f> σ(0.0832) = 0.5208</f>
        <v/>
      </c>
    </row>
    <row r="57">
      <c r="B57" s="13" t="inlineStr">
        <is>
          <t xml:space="preserve">  r[1]</t>
        </is>
      </c>
      <c r="D57">
        <f> σ(0.1076) = 0.5269</f>
        <v/>
      </c>
    </row>
    <row r="58">
      <c r="B58" s="13" t="inlineStr">
        <is>
          <t xml:space="preserve">  r[2]</t>
        </is>
      </c>
      <c r="D58">
        <f> σ(0.0124) = 0.5031</f>
        <v/>
      </c>
    </row>
    <row r="60">
      <c r="B60" s="7" t="inlineStr">
        <is>
          <t>② Update Gate z_t = σ(W_z·[h,x] + b_z):</t>
        </is>
      </c>
    </row>
    <row r="61">
      <c r="B61" s="12" t="inlineStr">
        <is>
          <t xml:space="preserve">  z[0]</t>
        </is>
      </c>
      <c r="D61">
        <f> σ(0.0688) = 0.5172</f>
        <v/>
      </c>
    </row>
    <row r="62">
      <c r="B62" s="12" t="inlineStr">
        <is>
          <t xml:space="preserve">  z[1]</t>
        </is>
      </c>
      <c r="D62">
        <f> σ(0.0184) = 0.5046</f>
        <v/>
      </c>
    </row>
    <row r="63">
      <c r="B63" s="12" t="inlineStr">
        <is>
          <t xml:space="preserve">  z[2]</t>
        </is>
      </c>
      <c r="D63">
        <f> σ(0.2632) = 0.5654</f>
        <v/>
      </c>
    </row>
    <row r="65">
      <c r="B65" s="5" t="inlineStr">
        <is>
          <t>③ r_t ⊙ h_{t-1}:</t>
        </is>
      </c>
    </row>
    <row r="66">
      <c r="B66" s="13" t="inlineStr">
        <is>
          <t xml:space="preserve">  [0]</t>
        </is>
      </c>
      <c r="D66">
        <f> 0.5208 × 0.0161 = 0.0084</f>
        <v/>
      </c>
    </row>
    <row r="67">
      <c r="B67" s="13" t="inlineStr">
        <is>
          <t xml:space="preserve">  [1]</t>
        </is>
      </c>
      <c r="D67">
        <f> 0.5269 × 0.06 = 0.0316</f>
        <v/>
      </c>
    </row>
    <row r="68">
      <c r="B68" s="13" t="inlineStr">
        <is>
          <t xml:space="preserve">  [2]</t>
        </is>
      </c>
      <c r="D68">
        <f> 0.5031 × -0.0401 = -0.0202</f>
        <v/>
      </c>
    </row>
    <row r="70">
      <c r="B70" s="8" t="inlineStr">
        <is>
          <t>④ Candidate h̃_t = tanh(W_h·[r⊙h, x] + b_h):</t>
        </is>
      </c>
    </row>
    <row r="71">
      <c r="B71" s="14" t="inlineStr">
        <is>
          <t xml:space="preserve">  h̃[0]</t>
        </is>
      </c>
      <c r="D71">
        <f> tanh(0.1292) = 0.1285</f>
        <v/>
      </c>
    </row>
    <row r="72">
      <c r="B72" s="14" t="inlineStr">
        <is>
          <t xml:space="preserve">  h̃[1]</t>
        </is>
      </c>
      <c r="D72">
        <f> tanh(0.0445) = 0.0445</f>
        <v/>
      </c>
    </row>
    <row r="73">
      <c r="B73" s="14" t="inlineStr">
        <is>
          <t xml:space="preserve">  h̃[2]</t>
        </is>
      </c>
      <c r="D73">
        <f> tanh(-0.0134) = -0.0134</f>
        <v/>
      </c>
    </row>
    <row r="75">
      <c r="B75" s="9" t="inlineStr">
        <is>
          <t>⑤ h_t = (1-z_t)⊙h_{t-1} + z_t⊙h̃_t:</t>
        </is>
      </c>
    </row>
    <row r="76">
      <c r="B76" s="10" t="inlineStr">
        <is>
          <t xml:space="preserve">  h[0]</t>
        </is>
      </c>
      <c r="D76">
        <f> (1-0.5172)×0.0161 + 0.5172×0.1285</f>
        <v/>
      </c>
      <c r="R76" s="10">
        <f> 0.0742</f>
        <v/>
      </c>
    </row>
    <row r="77">
      <c r="B77" s="10" t="inlineStr">
        <is>
          <t xml:space="preserve">  h[1]</t>
        </is>
      </c>
      <c r="D77">
        <f> (1-0.5046)×0.06 + 0.5046×0.0445</f>
        <v/>
      </c>
      <c r="R77" s="10">
        <f> 0.0522</f>
        <v/>
      </c>
    </row>
    <row r="78">
      <c r="B78" s="10" t="inlineStr">
        <is>
          <t xml:space="preserve">  h[2]</t>
        </is>
      </c>
      <c r="D78">
        <f> (1-0.5654)×-0.0401 + 0.5654×-0.0134</f>
        <v/>
      </c>
      <c r="R78" s="10">
        <f> -0.025</f>
        <v/>
      </c>
    </row>
    <row r="81">
      <c r="B81" s="9" t="inlineStr">
        <is>
          <t>→ h_t =</t>
        </is>
      </c>
      <c r="E81" s="10" t="n">
        <v>0.0742</v>
      </c>
      <c r="F81" s="10" t="n">
        <v>0.0522</v>
      </c>
      <c r="G81" s="10" t="n">
        <v>-0.025</v>
      </c>
    </row>
    <row r="84">
      <c r="B84" s="2" t="inlineStr">
        <is>
          <t>═══ t=2: 'is' ═══</t>
        </is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4" t="n"/>
    </row>
    <row r="86">
      <c r="B86" s="19" t="inlineStr">
        <is>
          <t>x_t =</t>
        </is>
      </c>
      <c r="D86" s="15" t="n">
        <v>-0.1</v>
      </c>
      <c r="E86" s="15" t="n">
        <v>0.2</v>
      </c>
      <c r="F86" s="15" t="n">
        <v>0.1</v>
      </c>
      <c r="G86" s="15" t="n">
        <v>0.1</v>
      </c>
    </row>
    <row r="87">
      <c r="B87" s="9" t="inlineStr">
        <is>
          <t>h_{t-1} =</t>
        </is>
      </c>
      <c r="D87" s="10" t="n">
        <v>0.0742</v>
      </c>
      <c r="E87" s="10" t="n">
        <v>0.0522</v>
      </c>
      <c r="F87" s="10" t="n">
        <v>-0.025</v>
      </c>
    </row>
    <row r="89">
      <c r="B89" s="16" t="inlineStr">
        <is>
          <t>[h_{t-1}, x_t] =</t>
        </is>
      </c>
      <c r="E89" s="16" t="n">
        <v>0.0742</v>
      </c>
      <c r="F89" s="16" t="n">
        <v>0.0522</v>
      </c>
      <c r="G89" s="16" t="n">
        <v>-0.025</v>
      </c>
      <c r="H89" s="16" t="n">
        <v>-0.1</v>
      </c>
      <c r="I89" s="16" t="n">
        <v>0.2</v>
      </c>
      <c r="J89" s="16" t="n">
        <v>0.1</v>
      </c>
      <c r="K89" s="16" t="n">
        <v>0.1</v>
      </c>
    </row>
    <row r="91">
      <c r="B91" s="5" t="inlineStr">
        <is>
          <t>① Reset Gate r_t = σ(W_r·[h,x] + b_r):</t>
        </is>
      </c>
    </row>
    <row r="92">
      <c r="B92" s="13" t="inlineStr">
        <is>
          <t xml:space="preserve">  r[0]</t>
        </is>
      </c>
      <c r="D92">
        <f> σ(-0.0329) = 0.4918</f>
        <v/>
      </c>
    </row>
    <row r="93">
      <c r="B93" s="13" t="inlineStr">
        <is>
          <t xml:space="preserve">  r[1]</t>
        </is>
      </c>
      <c r="D93">
        <f> σ(0.0981) = 0.5245</f>
        <v/>
      </c>
    </row>
    <row r="94">
      <c r="B94" s="13" t="inlineStr">
        <is>
          <t xml:space="preserve">  r[2]</t>
        </is>
      </c>
      <c r="D94">
        <f> σ(0.018) = 0.5045</f>
        <v/>
      </c>
    </row>
    <row r="96">
      <c r="B96" s="7" t="inlineStr">
        <is>
          <t>② Update Gate z_t = σ(W_z·[h,x] + b_z):</t>
        </is>
      </c>
    </row>
    <row r="97">
      <c r="B97" s="12" t="inlineStr">
        <is>
          <t xml:space="preserve">  z[0]</t>
        </is>
      </c>
      <c r="D97">
        <f> σ(0.0293) = 0.5073</f>
        <v/>
      </c>
    </row>
    <row r="98">
      <c r="B98" s="12" t="inlineStr">
        <is>
          <t xml:space="preserve">  z[1]</t>
        </is>
      </c>
      <c r="D98">
        <f> σ(-0.0245) = 0.4939</f>
        <v/>
      </c>
    </row>
    <row r="99">
      <c r="B99" s="12" t="inlineStr">
        <is>
          <t xml:space="preserve">  z[2]</t>
        </is>
      </c>
      <c r="D99">
        <f> σ(0.0226) = 0.5056</f>
        <v/>
      </c>
    </row>
    <row r="101">
      <c r="B101" s="5" t="inlineStr">
        <is>
          <t>③ r_t ⊙ h_{t-1}:</t>
        </is>
      </c>
    </row>
    <row r="102">
      <c r="B102" s="13" t="inlineStr">
        <is>
          <t xml:space="preserve">  [0]</t>
        </is>
      </c>
      <c r="D102">
        <f> 0.4918 × 0.0742 = 0.0365</f>
        <v/>
      </c>
    </row>
    <row r="103">
      <c r="B103" s="13" t="inlineStr">
        <is>
          <t xml:space="preserve">  [1]</t>
        </is>
      </c>
      <c r="D103">
        <f> 0.5245 × 0.0522 = 0.0274</f>
        <v/>
      </c>
    </row>
    <row r="104">
      <c r="B104" s="13" t="inlineStr">
        <is>
          <t xml:space="preserve">  [2]</t>
        </is>
      </c>
      <c r="D104">
        <f> 0.5045 × -0.025 = -0.0126</f>
        <v/>
      </c>
    </row>
    <row r="106">
      <c r="B106" s="8" t="inlineStr">
        <is>
          <t>④ Candidate h̃_t = tanh(W_h·[r⊙h, x] + b_h):</t>
        </is>
      </c>
    </row>
    <row r="107">
      <c r="B107" s="14" t="inlineStr">
        <is>
          <t xml:space="preserve">  h̃[0]</t>
        </is>
      </c>
      <c r="D107">
        <f> tanh(0.0104) = 0.0104</f>
        <v/>
      </c>
    </row>
    <row r="108">
      <c r="B108" s="14" t="inlineStr">
        <is>
          <t xml:space="preserve">  h̃[1]</t>
        </is>
      </c>
      <c r="D108">
        <f> tanh(0.032) = 0.032</f>
        <v/>
      </c>
    </row>
    <row r="109">
      <c r="B109" s="14" t="inlineStr">
        <is>
          <t xml:space="preserve">  h̃[2]</t>
        </is>
      </c>
      <c r="D109">
        <f> tanh(0.0533) = 0.0532</f>
        <v/>
      </c>
    </row>
    <row r="111">
      <c r="B111" s="9" t="inlineStr">
        <is>
          <t>⑤ h_t = (1-z_t)⊙h_{t-1} + z_t⊙h̃_t:</t>
        </is>
      </c>
    </row>
    <row r="112">
      <c r="B112" s="10" t="inlineStr">
        <is>
          <t xml:space="preserve">  h[0]</t>
        </is>
      </c>
      <c r="D112">
        <f> (1-0.5073)×0.0742 + 0.5073×0.0104</f>
        <v/>
      </c>
      <c r="R112" s="10">
        <f> 0.0418</f>
        <v/>
      </c>
    </row>
    <row r="113">
      <c r="B113" s="10" t="inlineStr">
        <is>
          <t xml:space="preserve">  h[1]</t>
        </is>
      </c>
      <c r="D113">
        <f> (1-0.4939)×0.0522 + 0.4939×0.032</f>
        <v/>
      </c>
      <c r="R113" s="10">
        <f> 0.0422</f>
        <v/>
      </c>
    </row>
    <row r="114">
      <c r="B114" s="10" t="inlineStr">
        <is>
          <t xml:space="preserve">  h[2]</t>
        </is>
      </c>
      <c r="D114">
        <f> (1-0.5056)×-0.025 + 0.5056×0.0532</f>
        <v/>
      </c>
      <c r="R114" s="10">
        <f> 0.0146</f>
        <v/>
      </c>
    </row>
    <row r="117">
      <c r="B117" s="9" t="inlineStr">
        <is>
          <t>→ h_t =</t>
        </is>
      </c>
      <c r="E117" s="10" t="n">
        <v>0.0418</v>
      </c>
      <c r="F117" s="10" t="n">
        <v>0.0422</v>
      </c>
      <c r="G117" s="10" t="n">
        <v>0.0146</v>
      </c>
    </row>
    <row r="120">
      <c r="B120" s="2" t="inlineStr">
        <is>
          <t>═══ t=3: 'good' ═══</t>
        </is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4" t="n"/>
    </row>
    <row r="122">
      <c r="B122" s="19" t="inlineStr">
        <is>
          <t>x_t =</t>
        </is>
      </c>
      <c r="D122" s="15" t="n">
        <v>0.6</v>
      </c>
      <c r="E122" s="15" t="n">
        <v>0.5</v>
      </c>
      <c r="F122" s="15" t="n">
        <v>0.4</v>
      </c>
      <c r="G122" s="15" t="n">
        <v>0.3</v>
      </c>
    </row>
    <row r="123">
      <c r="B123" s="9" t="inlineStr">
        <is>
          <t>h_{t-1} =</t>
        </is>
      </c>
      <c r="D123" s="10" t="n">
        <v>0.0418</v>
      </c>
      <c r="E123" s="10" t="n">
        <v>0.0422</v>
      </c>
      <c r="F123" s="10" t="n">
        <v>0.0146</v>
      </c>
    </row>
    <row r="125">
      <c r="B125" s="16" t="inlineStr">
        <is>
          <t>[h_{t-1}, x_t] =</t>
        </is>
      </c>
      <c r="E125" s="16" t="n">
        <v>0.0418</v>
      </c>
      <c r="F125" s="16" t="n">
        <v>0.0422</v>
      </c>
      <c r="G125" s="16" t="n">
        <v>0.0146</v>
      </c>
      <c r="H125" s="16" t="n">
        <v>0.6</v>
      </c>
      <c r="I125" s="16" t="n">
        <v>0.5</v>
      </c>
      <c r="J125" s="16" t="n">
        <v>0.4</v>
      </c>
      <c r="K125" s="16" t="n">
        <v>0.3</v>
      </c>
    </row>
    <row r="127">
      <c r="B127" s="5" t="inlineStr">
        <is>
          <t>① Reset Gate r_t = σ(W_r·[h,x] + b_r):</t>
        </is>
      </c>
    </row>
    <row r="128">
      <c r="B128" s="13" t="inlineStr">
        <is>
          <t xml:space="preserve">  r[0]</t>
        </is>
      </c>
      <c r="D128">
        <f> σ(0.1856) = 0.5463</f>
        <v/>
      </c>
    </row>
    <row r="129">
      <c r="B129" s="13" t="inlineStr">
        <is>
          <t xml:space="preserve">  r[1]</t>
        </is>
      </c>
      <c r="D129">
        <f> σ(0.1439) = 0.5359</f>
        <v/>
      </c>
    </row>
    <row r="130">
      <c r="B130" s="13" t="inlineStr">
        <is>
          <t xml:space="preserve">  r[2]</t>
        </is>
      </c>
      <c r="D130">
        <f> σ(0.1272) = 0.5318</f>
        <v/>
      </c>
    </row>
    <row r="132">
      <c r="B132" s="7" t="inlineStr">
        <is>
          <t>② Update Gate z_t = σ(W_z·[h,x] + b_z):</t>
        </is>
      </c>
    </row>
    <row r="133">
      <c r="B133" s="12" t="inlineStr">
        <is>
          <t xml:space="preserve">  z[0]</t>
        </is>
      </c>
      <c r="D133">
        <f> σ(0.2256) = 0.5562</f>
        <v/>
      </c>
    </row>
    <row r="134">
      <c r="B134" s="12" t="inlineStr">
        <is>
          <t xml:space="preserve">  z[1]</t>
        </is>
      </c>
      <c r="D134">
        <f> σ(0.0786) = 0.5196</f>
        <v/>
      </c>
    </row>
    <row r="135">
      <c r="B135" s="12" t="inlineStr">
        <is>
          <t xml:space="preserve">  z[2]</t>
        </is>
      </c>
      <c r="D135">
        <f> σ(0.2711) = 0.5674</f>
        <v/>
      </c>
    </row>
    <row r="137">
      <c r="B137" s="5" t="inlineStr">
        <is>
          <t>③ r_t ⊙ h_{t-1}:</t>
        </is>
      </c>
    </row>
    <row r="138">
      <c r="B138" s="13" t="inlineStr">
        <is>
          <t xml:space="preserve">  [0]</t>
        </is>
      </c>
      <c r="D138">
        <f> 0.5463 × 0.0418 = 0.0229</f>
        <v/>
      </c>
    </row>
    <row r="139">
      <c r="B139" s="13" t="inlineStr">
        <is>
          <t xml:space="preserve">  [1]</t>
        </is>
      </c>
      <c r="D139">
        <f> 0.5359 × 0.0422 = 0.0226</f>
        <v/>
      </c>
    </row>
    <row r="140">
      <c r="B140" s="13" t="inlineStr">
        <is>
          <t xml:space="preserve">  [2]</t>
        </is>
      </c>
      <c r="D140">
        <f> 0.5318 × 0.0146 = 0.0077</f>
        <v/>
      </c>
    </row>
    <row r="142">
      <c r="B142" s="8" t="inlineStr">
        <is>
          <t>④ Candidate h̃_t = tanh(W_h·[r⊙h, x] + b_h):</t>
        </is>
      </c>
    </row>
    <row r="143">
      <c r="B143" s="14" t="inlineStr">
        <is>
          <t xml:space="preserve">  h̃[0]</t>
        </is>
      </c>
      <c r="D143">
        <f> tanh(0.226) = 0.2223</f>
        <v/>
      </c>
    </row>
    <row r="144">
      <c r="B144" s="14" t="inlineStr">
        <is>
          <t xml:space="preserve">  h̃[1]</t>
        </is>
      </c>
      <c r="D144">
        <f> tanh(0.1439) = 0.1429</f>
        <v/>
      </c>
    </row>
    <row r="145">
      <c r="B145" s="14" t="inlineStr">
        <is>
          <t xml:space="preserve">  h̃[2]</t>
        </is>
      </c>
      <c r="D145">
        <f> tanh(-0.0147) = -0.0147</f>
        <v/>
      </c>
    </row>
    <row r="147">
      <c r="B147" s="9" t="inlineStr">
        <is>
          <t>⑤ h_t = (1-z_t)⊙h_{t-1} + z_t⊙h̃_t:</t>
        </is>
      </c>
    </row>
    <row r="148">
      <c r="B148" s="10" t="inlineStr">
        <is>
          <t xml:space="preserve">  h[0]</t>
        </is>
      </c>
      <c r="D148">
        <f> (1-0.5562)×0.0418 + 0.5562×0.2223</f>
        <v/>
      </c>
      <c r="R148" s="10">
        <f> 0.1422</f>
        <v/>
      </c>
    </row>
    <row r="149">
      <c r="B149" s="10" t="inlineStr">
        <is>
          <t xml:space="preserve">  h[1]</t>
        </is>
      </c>
      <c r="D149">
        <f> (1-0.5196)×0.0422 + 0.5196×0.1429</f>
        <v/>
      </c>
      <c r="R149" s="10">
        <f> 0.0945</f>
        <v/>
      </c>
    </row>
    <row r="150">
      <c r="B150" s="10" t="inlineStr">
        <is>
          <t xml:space="preserve">  h[2]</t>
        </is>
      </c>
      <c r="D150">
        <f> (1-0.5674)×0.0146 + 0.5674×-0.0147</f>
        <v/>
      </c>
      <c r="R150" s="10">
        <f> -0.0021</f>
        <v/>
      </c>
    </row>
    <row r="153">
      <c r="B153" s="9" t="inlineStr">
        <is>
          <t>→ h_t =</t>
        </is>
      </c>
      <c r="E153" s="10" t="n">
        <v>0.1422</v>
      </c>
      <c r="F153" s="10" t="n">
        <v>0.0945</v>
      </c>
      <c r="G153" s="10" t="n">
        <v>-0.0021</v>
      </c>
    </row>
    <row r="156">
      <c r="B156" s="21" t="inlineStr">
        <is>
          <t>═══ Final Output ═══</t>
        </is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4" t="n"/>
    </row>
    <row r="158">
      <c r="B158" s="9" t="inlineStr">
        <is>
          <t>h_final =</t>
        </is>
      </c>
      <c r="E158" s="10" t="n">
        <v>0.1422</v>
      </c>
      <c r="F158" s="10" t="n">
        <v>0.0945</v>
      </c>
      <c r="G158" s="10" t="n">
        <v>-0.0021</v>
      </c>
    </row>
    <row r="160">
      <c r="B160" s="21" t="inlineStr">
        <is>
          <t>z_y = W_hy · h_final + b_y:</t>
        </is>
      </c>
    </row>
    <row r="161">
      <c r="B161" t="inlineStr">
        <is>
          <t xml:space="preserve">  = (0.5×0.1422) + (-0.3×0.0945) + (0.4×-0.0021) + 0.1</t>
        </is>
      </c>
    </row>
    <row r="162">
      <c r="B162" s="22" t="inlineStr">
        <is>
          <t xml:space="preserve">  = 0.1419</t>
        </is>
      </c>
    </row>
    <row r="164">
      <c r="B164" s="21" t="inlineStr">
        <is>
          <t>y_pred = sigmoid(0.1419) = 0.5354</t>
        </is>
      </c>
    </row>
    <row r="166">
      <c r="B166" s="28" t="inlineStr">
        <is>
          <t>BCE Loss = 0.6247</t>
        </is>
      </c>
    </row>
  </sheetData>
  <mergeCells count="8">
    <mergeCell ref="B120:T120"/>
    <mergeCell ref="A1:J1"/>
    <mergeCell ref="B84:T84"/>
    <mergeCell ref="B2:AH2"/>
    <mergeCell ref="B4:T4"/>
    <mergeCell ref="B12:T12"/>
    <mergeCell ref="B48:T48"/>
    <mergeCell ref="B156:T15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3" t="inlineStr">
        <is>
          <t>[Description] Visualize gate activations over time steps to understand what information the GRU retains or forgets.</t>
        </is>
      </c>
    </row>
    <row r="2">
      <c r="B2" s="1" t="inlineStr">
        <is>
          <t>Gate Values Over Time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4" t="n"/>
    </row>
    <row r="4">
      <c r="B4" s="5" t="inlineStr">
        <is>
          <t>═══ Reset Gate (r_t) - How Much to Reset Past Info ═══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4" t="n"/>
    </row>
    <row r="6">
      <c r="B6" t="inlineStr">
        <is>
          <t>Close to 0 = ignore past, close to 1 = keep past</t>
        </is>
      </c>
    </row>
    <row r="8">
      <c r="B8" s="1" t="inlineStr">
        <is>
          <t>Time</t>
        </is>
      </c>
      <c r="C8" s="1" t="inlineStr">
        <is>
          <t>Word</t>
        </is>
      </c>
      <c r="E8" s="5" t="inlineStr">
        <is>
          <t>r[0]</t>
        </is>
      </c>
      <c r="F8" s="5" t="inlineStr">
        <is>
          <t>r[1]</t>
        </is>
      </c>
      <c r="G8" s="5" t="inlineStr">
        <is>
          <t>r[2]</t>
        </is>
      </c>
    </row>
    <row r="9">
      <c r="B9" s="16" t="inlineStr">
        <is>
          <t>t=0</t>
        </is>
      </c>
      <c r="C9" s="20" t="inlineStr">
        <is>
          <t>this</t>
        </is>
      </c>
      <c r="E9" s="13" t="inlineStr">
        <is>
          <t>52.2%</t>
        </is>
      </c>
      <c r="F9" s="13" t="inlineStr">
        <is>
          <t>48.5%</t>
        </is>
      </c>
      <c r="G9" s="13" t="inlineStr">
        <is>
          <t>53.5%</t>
        </is>
      </c>
    </row>
    <row r="10">
      <c r="B10" s="16" t="inlineStr">
        <is>
          <t>t=1</t>
        </is>
      </c>
      <c r="C10" s="20" t="inlineStr">
        <is>
          <t>movie</t>
        </is>
      </c>
      <c r="E10" s="13" t="inlineStr">
        <is>
          <t>52.1%</t>
        </is>
      </c>
      <c r="F10" s="13" t="inlineStr">
        <is>
          <t>52.7%</t>
        </is>
      </c>
      <c r="G10" s="13" t="inlineStr">
        <is>
          <t>50.3%</t>
        </is>
      </c>
    </row>
    <row r="11">
      <c r="B11" s="16" t="inlineStr">
        <is>
          <t>t=2</t>
        </is>
      </c>
      <c r="C11" s="20" t="inlineStr">
        <is>
          <t>is</t>
        </is>
      </c>
      <c r="E11" s="13" t="inlineStr">
        <is>
          <t>49.2%</t>
        </is>
      </c>
      <c r="F11" s="13" t="inlineStr">
        <is>
          <t>52.4%</t>
        </is>
      </c>
      <c r="G11" s="13" t="inlineStr">
        <is>
          <t>50.5%</t>
        </is>
      </c>
    </row>
    <row r="12">
      <c r="B12" s="16" t="inlineStr">
        <is>
          <t>t=3</t>
        </is>
      </c>
      <c r="C12" s="20" t="inlineStr">
        <is>
          <t>good</t>
        </is>
      </c>
      <c r="E12" s="13" t="inlineStr">
        <is>
          <t>54.6%</t>
        </is>
      </c>
      <c r="F12" s="13" t="inlineStr">
        <is>
          <t>53.6%</t>
        </is>
      </c>
      <c r="G12" s="13" t="inlineStr">
        <is>
          <t>53.2%</t>
        </is>
      </c>
    </row>
    <row r="15">
      <c r="B15" s="7" t="inlineStr">
        <is>
          <t>═══ Update Gate (z_t) - New Information Ratio ═══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4" t="n"/>
    </row>
    <row r="17">
      <c r="B17" t="inlineStr">
        <is>
          <t>Close to 0 = keep past, close to 1 = replace with new info</t>
        </is>
      </c>
    </row>
    <row r="19">
      <c r="B19" s="1" t="inlineStr">
        <is>
          <t>Time</t>
        </is>
      </c>
      <c r="C19" s="1" t="inlineStr">
        <is>
          <t>Word</t>
        </is>
      </c>
      <c r="E19" s="7" t="inlineStr">
        <is>
          <t>z[0]</t>
        </is>
      </c>
      <c r="F19" s="7" t="inlineStr">
        <is>
          <t>z[1]</t>
        </is>
      </c>
      <c r="G19" s="7" t="inlineStr">
        <is>
          <t>z[2]</t>
        </is>
      </c>
    </row>
    <row r="20">
      <c r="B20" s="16" t="inlineStr">
        <is>
          <t>t=0</t>
        </is>
      </c>
      <c r="C20" s="20" t="inlineStr">
        <is>
          <t>this</t>
        </is>
      </c>
      <c r="E20" s="12" t="inlineStr">
        <is>
          <t>53.7%</t>
        </is>
      </c>
      <c r="F20" s="12" t="inlineStr">
        <is>
          <t>50.2%</t>
        </is>
      </c>
      <c r="G20" s="12" t="inlineStr">
        <is>
          <t>50.2%</t>
        </is>
      </c>
    </row>
    <row r="21">
      <c r="B21" s="16" t="inlineStr">
        <is>
          <t>t=1</t>
        </is>
      </c>
      <c r="C21" s="20" t="inlineStr">
        <is>
          <t>movie</t>
        </is>
      </c>
      <c r="E21" s="12" t="inlineStr">
        <is>
          <t>51.7%</t>
        </is>
      </c>
      <c r="F21" s="12" t="inlineStr">
        <is>
          <t>50.5%</t>
        </is>
      </c>
      <c r="G21" s="12" t="inlineStr">
        <is>
          <t>56.5%</t>
        </is>
      </c>
    </row>
    <row r="22">
      <c r="B22" s="16" t="inlineStr">
        <is>
          <t>t=2</t>
        </is>
      </c>
      <c r="C22" s="20" t="inlineStr">
        <is>
          <t>is</t>
        </is>
      </c>
      <c r="E22" s="12" t="inlineStr">
        <is>
          <t>50.7%</t>
        </is>
      </c>
      <c r="F22" s="12" t="inlineStr">
        <is>
          <t>49.4%</t>
        </is>
      </c>
      <c r="G22" s="12" t="inlineStr">
        <is>
          <t>50.6%</t>
        </is>
      </c>
    </row>
    <row r="23">
      <c r="B23" s="16" t="inlineStr">
        <is>
          <t>t=3</t>
        </is>
      </c>
      <c r="C23" s="20" t="inlineStr">
        <is>
          <t>good</t>
        </is>
      </c>
      <c r="E23" s="12" t="inlineStr">
        <is>
          <t>55.6%</t>
        </is>
      </c>
      <c r="F23" s="12" t="inlineStr">
        <is>
          <t>52.0%</t>
        </is>
      </c>
      <c r="G23" s="12" t="inlineStr">
        <is>
          <t>56.7%</t>
        </is>
      </c>
    </row>
    <row r="26">
      <c r="B26" s="9" t="inlineStr">
        <is>
          <t>═══ Hidden State (h_t) ═══</t>
        </is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4" t="n"/>
    </row>
    <row r="28">
      <c r="B28" s="1" t="inlineStr">
        <is>
          <t>Time</t>
        </is>
      </c>
      <c r="C28" s="1" t="inlineStr">
        <is>
          <t>Word</t>
        </is>
      </c>
      <c r="E28" s="9" t="inlineStr">
        <is>
          <t>h[0]</t>
        </is>
      </c>
      <c r="F28" s="9" t="inlineStr">
        <is>
          <t>h[1]</t>
        </is>
      </c>
      <c r="G28" s="9" t="inlineStr">
        <is>
          <t>h[2]</t>
        </is>
      </c>
    </row>
    <row r="29">
      <c r="B29" s="16" t="inlineStr">
        <is>
          <t>t=0</t>
        </is>
      </c>
      <c r="C29" s="20" t="inlineStr">
        <is>
          <t>this</t>
        </is>
      </c>
      <c r="E29" s="10" t="n">
        <v>0.0161</v>
      </c>
      <c r="F29" s="10" t="n">
        <v>0.06</v>
      </c>
      <c r="G29" s="10" t="n">
        <v>-0.0401</v>
      </c>
    </row>
    <row r="30">
      <c r="B30" s="16" t="inlineStr">
        <is>
          <t>t=1</t>
        </is>
      </c>
      <c r="C30" s="20" t="inlineStr">
        <is>
          <t>movie</t>
        </is>
      </c>
      <c r="E30" s="10" t="n">
        <v>0.0742</v>
      </c>
      <c r="F30" s="10" t="n">
        <v>0.0522</v>
      </c>
      <c r="G30" s="10" t="n">
        <v>-0.025</v>
      </c>
    </row>
    <row r="31">
      <c r="B31" s="16" t="inlineStr">
        <is>
          <t>t=2</t>
        </is>
      </c>
      <c r="C31" s="20" t="inlineStr">
        <is>
          <t>is</t>
        </is>
      </c>
      <c r="E31" s="10" t="n">
        <v>0.0418</v>
      </c>
      <c r="F31" s="10" t="n">
        <v>0.0422</v>
      </c>
      <c r="G31" s="10" t="n">
        <v>0.0146</v>
      </c>
    </row>
    <row r="32">
      <c r="B32" s="16" t="inlineStr">
        <is>
          <t>t=3</t>
        </is>
      </c>
      <c r="C32" s="20" t="inlineStr">
        <is>
          <t>good</t>
        </is>
      </c>
      <c r="E32" s="10" t="n">
        <v>0.1422</v>
      </c>
      <c r="F32" s="10" t="n">
        <v>0.0945</v>
      </c>
      <c r="G32" s="10" t="n">
        <v>-0.0021</v>
      </c>
    </row>
  </sheetData>
  <mergeCells count="5">
    <mergeCell ref="A1:J1"/>
    <mergeCell ref="B4:N4"/>
    <mergeCell ref="B26:N26"/>
    <mergeCell ref="B15:N15"/>
    <mergeCell ref="B2:T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</cols>
  <sheetData>
    <row r="1">
      <c r="A1" s="33" t="inlineStr">
        <is>
          <t>[Description] Compare GRU vs LSTM: GRU has fewer parameters and faster training, LSTM may capture longer dependencies.</t>
        </is>
      </c>
    </row>
    <row r="2">
      <c r="B2" s="1" t="inlineStr">
        <is>
          <t>GRU vs LSTM Comparison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4" t="n"/>
    </row>
    <row r="4">
      <c r="B4" s="16" t="inlineStr"/>
      <c r="E4" s="29" t="inlineStr">
        <is>
          <t>GRU</t>
        </is>
      </c>
      <c r="F4" s="3" t="n"/>
      <c r="G4" s="3" t="n"/>
      <c r="H4" s="3" t="n"/>
      <c r="I4" s="4" t="n"/>
      <c r="K4" s="2" t="inlineStr">
        <is>
          <t>LSTM</t>
        </is>
      </c>
      <c r="L4" s="3" t="n"/>
      <c r="M4" s="3" t="n"/>
      <c r="N4" s="3" t="n"/>
      <c r="O4" s="4" t="n"/>
    </row>
    <row r="5">
      <c r="B5" s="1" t="inlineStr">
        <is>
          <t>Number of gates</t>
        </is>
      </c>
      <c r="E5" s="30" t="inlineStr">
        <is>
          <t>2 (Reset, Update)</t>
        </is>
      </c>
      <c r="F5" s="3" t="n"/>
      <c r="G5" s="3" t="n"/>
      <c r="H5" s="3" t="n"/>
      <c r="I5" s="4" t="n"/>
      <c r="K5" s="20" t="inlineStr">
        <is>
          <t>4 (Forget, Input, Output, Cell)</t>
        </is>
      </c>
      <c r="L5" s="3" t="n"/>
      <c r="M5" s="3" t="n"/>
      <c r="N5" s="3" t="n"/>
      <c r="O5" s="4" t="n"/>
    </row>
    <row r="6">
      <c r="B6" s="1" t="inlineStr">
        <is>
          <t>State</t>
        </is>
      </c>
      <c r="E6" s="30" t="inlineStr">
        <is>
          <t>Hidden State only</t>
        </is>
      </c>
      <c r="F6" s="3" t="n"/>
      <c r="G6" s="3" t="n"/>
      <c r="H6" s="3" t="n"/>
      <c r="I6" s="4" t="n"/>
      <c r="K6" s="20" t="inlineStr">
        <is>
          <t>Cell State + Hidden State</t>
        </is>
      </c>
      <c r="L6" s="3" t="n"/>
      <c r="M6" s="3" t="n"/>
      <c r="N6" s="3" t="n"/>
      <c r="O6" s="4" t="n"/>
    </row>
    <row r="7">
      <c r="B7" s="1" t="inlineStr">
        <is>
          <t>Formula complexity</t>
        </is>
      </c>
      <c r="E7" s="30" t="inlineStr">
        <is>
          <t>Simpler</t>
        </is>
      </c>
      <c r="F7" s="3" t="n"/>
      <c r="G7" s="3" t="n"/>
      <c r="H7" s="3" t="n"/>
      <c r="I7" s="4" t="n"/>
      <c r="K7" s="20" t="inlineStr">
        <is>
          <t>More complex</t>
        </is>
      </c>
      <c r="L7" s="3" t="n"/>
      <c r="M7" s="3" t="n"/>
      <c r="N7" s="3" t="n"/>
      <c r="O7" s="4" t="n"/>
    </row>
    <row r="8">
      <c r="B8" s="1" t="inlineStr">
        <is>
          <t>Number of parameters</t>
        </is>
      </c>
      <c r="E8" s="30" t="inlineStr">
        <is>
          <t>3 weight matrices</t>
        </is>
      </c>
      <c r="F8" s="3" t="n"/>
      <c r="G8" s="3" t="n"/>
      <c r="H8" s="3" t="n"/>
      <c r="I8" s="4" t="n"/>
      <c r="K8" s="20" t="inlineStr">
        <is>
          <t>4 weight matrices</t>
        </is>
      </c>
      <c r="L8" s="3" t="n"/>
      <c r="M8" s="3" t="n"/>
      <c r="N8" s="3" t="n"/>
      <c r="O8" s="4" t="n"/>
    </row>
    <row r="9">
      <c r="B9" s="1" t="inlineStr">
        <is>
          <t>Computation speed</t>
        </is>
      </c>
      <c r="E9" s="30" t="inlineStr">
        <is>
          <t>Faster</t>
        </is>
      </c>
      <c r="F9" s="3" t="n"/>
      <c r="G9" s="3" t="n"/>
      <c r="H9" s="3" t="n"/>
      <c r="I9" s="4" t="n"/>
      <c r="K9" s="20" t="inlineStr">
        <is>
          <t>Slower</t>
        </is>
      </c>
      <c r="L9" s="3" t="n"/>
      <c r="M9" s="3" t="n"/>
      <c r="N9" s="3" t="n"/>
      <c r="O9" s="4" t="n"/>
    </row>
    <row r="10">
      <c r="B10" s="1" t="inlineStr">
        <is>
          <t>Memory</t>
        </is>
      </c>
      <c r="E10" s="30" t="inlineStr">
        <is>
          <t>Less</t>
        </is>
      </c>
      <c r="F10" s="3" t="n"/>
      <c r="G10" s="3" t="n"/>
      <c r="H10" s="3" t="n"/>
      <c r="I10" s="4" t="n"/>
      <c r="K10" s="20" t="inlineStr">
        <is>
          <t>More</t>
        </is>
      </c>
      <c r="L10" s="3" t="n"/>
      <c r="M10" s="3" t="n"/>
      <c r="N10" s="3" t="n"/>
      <c r="O10" s="4" t="n"/>
    </row>
    <row r="11">
      <c r="B11" s="1" t="inlineStr">
        <is>
          <t>Long-term dependency</t>
        </is>
      </c>
      <c r="E11" s="30" t="inlineStr">
        <is>
          <t>Good</t>
        </is>
      </c>
      <c r="F11" s="3" t="n"/>
      <c r="G11" s="3" t="n"/>
      <c r="H11" s="3" t="n"/>
      <c r="I11" s="4" t="n"/>
      <c r="K11" s="20" t="inlineStr">
        <is>
          <t>Very good</t>
        </is>
      </c>
      <c r="L11" s="3" t="n"/>
      <c r="M11" s="3" t="n"/>
      <c r="N11" s="3" t="n"/>
      <c r="O11" s="4" t="n"/>
    </row>
    <row r="12">
      <c r="B12" s="1" t="inlineStr">
        <is>
          <t>General performance</t>
        </is>
      </c>
      <c r="E12" s="30" t="inlineStr">
        <is>
          <t>Similar</t>
        </is>
      </c>
      <c r="F12" s="3" t="n"/>
      <c r="G12" s="3" t="n"/>
      <c r="H12" s="3" t="n"/>
      <c r="I12" s="4" t="n"/>
      <c r="K12" s="20" t="inlineStr">
        <is>
          <t>Similar</t>
        </is>
      </c>
      <c r="L12" s="3" t="n"/>
      <c r="M12" s="3" t="n"/>
      <c r="N12" s="3" t="n"/>
      <c r="O12" s="4" t="n"/>
    </row>
    <row r="15">
      <c r="B15" s="1" t="inlineStr">
        <is>
          <t>═══ Key Differences ═══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4" t="n"/>
    </row>
    <row r="17">
      <c r="B17" t="inlineStr">
        <is>
          <t>GRU's Update Gate performs both LSTM's Forget Gate + Input Gate roles:</t>
        </is>
      </c>
    </row>
    <row r="18">
      <c r="B18" t="inlineStr">
        <is>
          <t xml:space="preserve">  • LSTM: c_t = f_t⊙c_{t-1} + i_t⊙c̃_t  (separate f_t, i_t)</t>
        </is>
      </c>
    </row>
    <row r="19">
      <c r="B19" t="inlineStr">
        <is>
          <t xml:space="preserve">  • GRU:  h_t = (1-z_t)⊙h_{t-1} + z_t⊙h̃_t  (controlled by single z_t)</t>
        </is>
      </c>
    </row>
    <row r="21">
      <c r="B21" t="inlineStr">
        <is>
          <t>GRU's Reset Gate plays a similar role to LSTM's Output Gate:</t>
        </is>
      </c>
    </row>
    <row r="22">
      <c r="B22" t="inlineStr">
        <is>
          <t xml:space="preserve">  • Decide how much past info to reflect in candidate calculation</t>
        </is>
      </c>
    </row>
    <row r="24">
      <c r="B24" t="inlineStr">
        <is>
          <t>When to choose GRU?</t>
        </is>
      </c>
    </row>
    <row r="25">
      <c r="B25" t="inlineStr">
        <is>
          <t xml:space="preserve">  • When dataset is small (prevent overfitting)</t>
        </is>
      </c>
    </row>
    <row r="26">
      <c r="B26" t="inlineStr">
        <is>
          <t xml:space="preserve">  • When fast learning is needed</t>
        </is>
      </c>
    </row>
    <row r="27">
      <c r="B27" t="inlineStr">
        <is>
          <t xml:space="preserve">  • When computational resources are limited</t>
        </is>
      </c>
    </row>
    <row r="29">
      <c r="B29" t="inlineStr">
        <is>
          <t>When to choose LSTM?</t>
        </is>
      </c>
    </row>
    <row r="30">
      <c r="B30" t="inlineStr">
        <is>
          <t xml:space="preserve">  • When handling very long sequences</t>
        </is>
      </c>
    </row>
    <row r="31">
      <c r="B31" t="inlineStr">
        <is>
          <t xml:space="preserve">  • When sufficient data and resources are available</t>
        </is>
      </c>
    </row>
  </sheetData>
  <mergeCells count="21">
    <mergeCell ref="E12:I12"/>
    <mergeCell ref="B2:V2"/>
    <mergeCell ref="K9:O9"/>
    <mergeCell ref="E5:I5"/>
    <mergeCell ref="K5:O5"/>
    <mergeCell ref="E8:I8"/>
    <mergeCell ref="E4:I4"/>
    <mergeCell ref="K11:O11"/>
    <mergeCell ref="E10:I10"/>
    <mergeCell ref="E9:I9"/>
    <mergeCell ref="B15:P15"/>
    <mergeCell ref="A1:J1"/>
    <mergeCell ref="K12:O12"/>
    <mergeCell ref="E6:I6"/>
    <mergeCell ref="K8:O8"/>
    <mergeCell ref="E11:I11"/>
    <mergeCell ref="E7:I7"/>
    <mergeCell ref="K7:O7"/>
    <mergeCell ref="K10:O10"/>
    <mergeCell ref="K6:O6"/>
    <mergeCell ref="K4:O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9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</cols>
  <sheetData>
    <row r="1">
      <c r="A1" s="33" t="inlineStr">
        <is>
          <t>[Description] GRU backpropagation: Compute gradients for reset and update gates, then update all parameters.</t>
        </is>
      </c>
    </row>
    <row r="2">
      <c r="B2" s="21" t="inlineStr">
        <is>
          <t>GRU Backward Pass - Original → Gradient → Updated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4" t="n"/>
    </row>
    <row r="4">
      <c r="B4" s="18" t="inlineStr">
        <is>
          <t>Learning Rate: 0.1</t>
        </is>
      </c>
    </row>
    <row r="6">
      <c r="B6" s="21" t="inlineStr">
        <is>
          <t>═══ Output Layer Gradients ═══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4" t="n"/>
    </row>
    <row r="8">
      <c r="B8" s="31" t="inlineStr">
        <is>
          <t>dL/dy_pred = y_pred - y_true = 0.5354 - 1 = -0.4646</t>
        </is>
      </c>
    </row>
    <row r="10">
      <c r="B10" s="21" t="inlineStr">
        <is>
          <t>W_hy</t>
        </is>
      </c>
      <c r="F10" s="21" t="inlineStr">
        <is>
          <t>Original</t>
        </is>
      </c>
      <c r="J10" s="28" t="inlineStr">
        <is>
          <t>Gradient</t>
        </is>
      </c>
      <c r="N10" s="29" t="inlineStr">
        <is>
          <t>Updated</t>
        </is>
      </c>
    </row>
    <row r="11">
      <c r="B11" s="16" t="inlineStr">
        <is>
          <t>W_hy[0]</t>
        </is>
      </c>
      <c r="F11" s="22" t="n">
        <v>0.5</v>
      </c>
      <c r="J11" s="32" t="n">
        <v>-0.06610000000000001</v>
      </c>
      <c r="N11" s="30" t="n">
        <v>0.5066000000000001</v>
      </c>
    </row>
    <row r="12">
      <c r="B12" s="16" t="inlineStr">
        <is>
          <t>W_hy[1]</t>
        </is>
      </c>
      <c r="F12" s="22" t="n">
        <v>-0.3</v>
      </c>
      <c r="J12" s="32" t="n">
        <v>-0.0439</v>
      </c>
      <c r="N12" s="30" t="n">
        <v>-0.2956</v>
      </c>
    </row>
    <row r="13">
      <c r="B13" s="16" t="inlineStr">
        <is>
          <t>W_hy[2]</t>
        </is>
      </c>
      <c r="F13" s="22" t="n">
        <v>0.4</v>
      </c>
      <c r="J13" s="32" t="n">
        <v>0.001</v>
      </c>
      <c r="N13" s="30" t="n">
        <v>0.3999</v>
      </c>
    </row>
    <row r="15">
      <c r="B15" s="16" t="inlineStr">
        <is>
          <t>b_y</t>
        </is>
      </c>
      <c r="F15" s="22" t="n">
        <v>0.1</v>
      </c>
      <c r="J15" s="32" t="n">
        <v>-0.4646</v>
      </c>
      <c r="N15" s="30" t="n">
        <v>0.1465</v>
      </c>
    </row>
    <row r="18">
      <c r="B18" s="9" t="inlineStr">
        <is>
          <t>═══ Gradient to Hidden State ═══</t>
        </is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4" t="n"/>
    </row>
    <row r="20">
      <c r="B20" s="9" t="inlineStr">
        <is>
          <t>dL/dh_final = W_hy^T × dL/dz_y:</t>
        </is>
      </c>
    </row>
    <row r="21">
      <c r="B21" s="10" t="inlineStr">
        <is>
          <t xml:space="preserve">  dL/dh[0]</t>
        </is>
      </c>
      <c r="E21">
        <f> 0.5 × -0.4646 = -0.2323</f>
        <v/>
      </c>
    </row>
    <row r="22">
      <c r="B22" s="10" t="inlineStr">
        <is>
          <t xml:space="preserve">  dL/dh[1]</t>
        </is>
      </c>
      <c r="E22">
        <f> -0.3 × -0.4646 = 0.1394</f>
        <v/>
      </c>
    </row>
    <row r="23">
      <c r="B23" s="10" t="inlineStr">
        <is>
          <t xml:space="preserve">  dL/dh[2]</t>
        </is>
      </c>
      <c r="E23">
        <f> 0.4 × -0.4646 = -0.1858</f>
        <v/>
      </c>
    </row>
    <row r="26">
      <c r="B26" s="1" t="inlineStr">
        <is>
          <t>═══ Gate Gradients (t=3: 'good') ═══</t>
        </is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4" t="n"/>
    </row>
    <row r="28">
      <c r="B28" s="7" t="inlineStr">
        <is>
          <t>① dL/dz_t = dL/dh_t ⊙ (-h_{t-1} + h̃_t):</t>
        </is>
      </c>
    </row>
    <row r="29">
      <c r="B29" s="12" t="inlineStr">
        <is>
          <t xml:space="preserve">  dL/dz[0]</t>
        </is>
      </c>
      <c r="E29">
        <f> -0.2323 × (-0.0418 + 0.2223) = -0.0419</f>
        <v/>
      </c>
    </row>
    <row r="30">
      <c r="B30" s="12" t="inlineStr">
        <is>
          <t xml:space="preserve">  dL/dz[1]</t>
        </is>
      </c>
      <c r="E30">
        <f> 0.1394 × (-0.0422 + 0.1429) = 0.014</f>
        <v/>
      </c>
    </row>
    <row r="31">
      <c r="B31" s="12" t="inlineStr">
        <is>
          <t xml:space="preserve">  dL/dz[2]</t>
        </is>
      </c>
      <c r="E31">
        <f> -0.1858 × (-0.0146 + -0.0147) = 0.0054</f>
        <v/>
      </c>
    </row>
    <row r="33">
      <c r="B33" s="8" t="inlineStr">
        <is>
          <t>② dL/dh̃_t = dL/dh_t ⊙ z_t:</t>
        </is>
      </c>
    </row>
    <row r="34">
      <c r="B34" s="14" t="inlineStr">
        <is>
          <t xml:space="preserve">  dL/dh̃[0]</t>
        </is>
      </c>
      <c r="E34">
        <f> -0.2323 × 0.5562 = -0.1292</f>
        <v/>
      </c>
    </row>
    <row r="35">
      <c r="B35" s="14" t="inlineStr">
        <is>
          <t xml:space="preserve">  dL/dh̃[1]</t>
        </is>
      </c>
      <c r="E35">
        <f> 0.1394 × 0.5196 = 0.0724</f>
        <v/>
      </c>
    </row>
    <row r="36">
      <c r="B36" s="14" t="inlineStr">
        <is>
          <t xml:space="preserve">  dL/dh̃[2]</t>
        </is>
      </c>
      <c r="E36">
        <f> -0.1858 × 0.5674 = -0.1054</f>
        <v/>
      </c>
    </row>
    <row r="38">
      <c r="B38" s="5" t="inlineStr">
        <is>
          <t>③ dL/dr_t (through h̃_t):</t>
        </is>
      </c>
    </row>
    <row r="39">
      <c r="B39" s="13" t="inlineStr">
        <is>
          <t xml:space="preserve">  dL/dr[0]</t>
        </is>
      </c>
      <c r="E39" s="13">
        <f> 0.0005</f>
        <v/>
      </c>
    </row>
    <row r="40">
      <c r="B40" s="13" t="inlineStr">
        <is>
          <t xml:space="preserve">  dL/dr[1]</t>
        </is>
      </c>
      <c r="E40" s="13">
        <f> -0.0027</f>
        <v/>
      </c>
    </row>
    <row r="41">
      <c r="B41" s="13" t="inlineStr">
        <is>
          <t xml:space="preserve">  dL/dr[2]</t>
        </is>
      </c>
      <c r="E41" s="13">
        <f> 0.0002</f>
        <v/>
      </c>
    </row>
    <row r="44">
      <c r="B44" s="1" t="inlineStr">
        <is>
          <t>═══ Pre-activation Gradients ═══</t>
        </is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4" t="n"/>
    </row>
    <row r="46">
      <c r="B46" s="24" t="inlineStr">
        <is>
          <t>dL/dz_r (pre-sigmoid) = [0.0001, -0.0007, 0.0001]</t>
        </is>
      </c>
    </row>
    <row r="47">
      <c r="B47" s="25" t="inlineStr">
        <is>
          <t>dL/dz_z (pre-sigmoid) = [-0.0103, 0.0035, 0.0013]</t>
        </is>
      </c>
    </row>
    <row r="48">
      <c r="B48" s="26" t="inlineStr">
        <is>
          <t>dL/dz_h̃ (pre-tanh) = [-0.1228, 0.0709, -0.1054]</t>
        </is>
      </c>
    </row>
    <row r="51">
      <c r="B51" s="5" t="inlineStr">
        <is>
          <t>═══ Reset Gate (W_r, b_r) Update ═══</t>
        </is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4" t="n"/>
    </row>
    <row r="53">
      <c r="B53" s="16" t="inlineStr"/>
      <c r="D53" s="5" t="inlineStr">
        <is>
          <t>Original</t>
        </is>
      </c>
      <c r="E53" s="3" t="n"/>
      <c r="F53" s="3" t="n"/>
      <c r="G53" s="3" t="n"/>
      <c r="H53" s="3" t="n"/>
      <c r="I53" s="3" t="n"/>
      <c r="J53" s="3" t="n"/>
      <c r="K53" s="4" t="n"/>
      <c r="M53" s="28" t="inlineStr">
        <is>
          <t>Gradient</t>
        </is>
      </c>
      <c r="N53" s="3" t="n"/>
      <c r="O53" s="3" t="n"/>
      <c r="P53" s="3" t="n"/>
      <c r="Q53" s="3" t="n"/>
      <c r="R53" s="3" t="n"/>
      <c r="S53" s="3" t="n"/>
      <c r="T53" s="4" t="n"/>
      <c r="V53" s="29" t="inlineStr">
        <is>
          <t>Updated</t>
        </is>
      </c>
      <c r="W53" s="3" t="n"/>
      <c r="X53" s="3" t="n"/>
      <c r="Y53" s="3" t="n"/>
      <c r="Z53" s="3" t="n"/>
      <c r="AA53" s="3" t="n"/>
      <c r="AB53" s="3" t="n"/>
      <c r="AC53" s="4" t="n"/>
    </row>
    <row r="54">
      <c r="D54" s="16" t="inlineStr">
        <is>
          <t>h[0]</t>
        </is>
      </c>
      <c r="E54" s="16" t="inlineStr">
        <is>
          <t>h[1]</t>
        </is>
      </c>
      <c r="F54" s="16" t="inlineStr">
        <is>
          <t>h[2]</t>
        </is>
      </c>
      <c r="G54" s="16" t="inlineStr">
        <is>
          <t>x[0]</t>
        </is>
      </c>
      <c r="H54" s="16" t="inlineStr">
        <is>
          <t>x[1]</t>
        </is>
      </c>
      <c r="I54" s="16" t="inlineStr">
        <is>
          <t>x[2]</t>
        </is>
      </c>
      <c r="J54" s="16" t="inlineStr">
        <is>
          <t>x[3]</t>
        </is>
      </c>
      <c r="M54" s="16" t="inlineStr">
        <is>
          <t>h[0]</t>
        </is>
      </c>
      <c r="N54" s="16" t="inlineStr">
        <is>
          <t>h[1]</t>
        </is>
      </c>
      <c r="O54" s="16" t="inlineStr">
        <is>
          <t>h[2]</t>
        </is>
      </c>
      <c r="P54" s="16" t="inlineStr">
        <is>
          <t>x[0]</t>
        </is>
      </c>
      <c r="Q54" s="16" t="inlineStr">
        <is>
          <t>x[1]</t>
        </is>
      </c>
      <c r="R54" s="16" t="inlineStr">
        <is>
          <t>x[2]</t>
        </is>
      </c>
      <c r="S54" s="16" t="inlineStr">
        <is>
          <t>x[3]</t>
        </is>
      </c>
      <c r="V54" s="16" t="inlineStr">
        <is>
          <t>h[0]</t>
        </is>
      </c>
      <c r="W54" s="16" t="inlineStr">
        <is>
          <t>h[1]</t>
        </is>
      </c>
      <c r="X54" s="16" t="inlineStr">
        <is>
          <t>h[2]</t>
        </is>
      </c>
      <c r="Y54" s="16" t="inlineStr">
        <is>
          <t>x[0]</t>
        </is>
      </c>
      <c r="Z54" s="16" t="inlineStr">
        <is>
          <t>x[1]</t>
        </is>
      </c>
      <c r="AA54" s="16" t="inlineStr">
        <is>
          <t>x[2]</t>
        </is>
      </c>
      <c r="AB54" s="16" t="inlineStr">
        <is>
          <t>x[3]</t>
        </is>
      </c>
    </row>
    <row r="55">
      <c r="B55" s="13" t="inlineStr">
        <is>
          <t>W_r[0]</t>
        </is>
      </c>
      <c r="D55" s="13" t="n">
        <v>0.2</v>
      </c>
      <c r="E55" s="13" t="n">
        <v>-0.1</v>
      </c>
      <c r="F55" s="13" t="n">
        <v>0.1</v>
      </c>
      <c r="G55" s="13" t="n">
        <v>0.3</v>
      </c>
      <c r="H55" s="13" t="n">
        <v>-0.2</v>
      </c>
      <c r="I55" s="13" t="n">
        <v>0.1</v>
      </c>
      <c r="J55" s="13" t="n">
        <v>0.2</v>
      </c>
      <c r="M55" s="32" t="n">
        <v>0</v>
      </c>
      <c r="N55" s="32" t="n">
        <v>0</v>
      </c>
      <c r="O55" s="32" t="n">
        <v>0</v>
      </c>
      <c r="P55" s="32" t="n">
        <v>0.0001</v>
      </c>
      <c r="Q55" s="32" t="n">
        <v>0.0001</v>
      </c>
      <c r="R55" s="32" t="n">
        <v>0.0001</v>
      </c>
      <c r="S55" s="32" t="n">
        <v>0</v>
      </c>
      <c r="V55" s="30" t="n">
        <v>0.2</v>
      </c>
      <c r="W55" s="30" t="n">
        <v>-0.1</v>
      </c>
      <c r="X55" s="30" t="n">
        <v>0.1</v>
      </c>
      <c r="Y55" s="30" t="n">
        <v>0.3</v>
      </c>
      <c r="Z55" s="30" t="n">
        <v>-0.2</v>
      </c>
      <c r="AA55" s="30" t="n">
        <v>0.1</v>
      </c>
      <c r="AB55" s="30" t="n">
        <v>0.2</v>
      </c>
    </row>
    <row r="56">
      <c r="B56" s="13" t="inlineStr">
        <is>
          <t>W_r[1]</t>
        </is>
      </c>
      <c r="D56" s="13" t="n">
        <v>0.1</v>
      </c>
      <c r="E56" s="13" t="n">
        <v>0.3</v>
      </c>
      <c r="F56" s="13" t="n">
        <v>-0.2</v>
      </c>
      <c r="G56" s="13" t="n">
        <v>-0.1</v>
      </c>
      <c r="H56" s="13" t="n">
        <v>0.2</v>
      </c>
      <c r="I56" s="13" t="n">
        <v>0.3</v>
      </c>
      <c r="J56" s="13" t="n">
        <v>-0.1</v>
      </c>
      <c r="M56" s="32" t="n">
        <v>0</v>
      </c>
      <c r="N56" s="32" t="n">
        <v>0</v>
      </c>
      <c r="O56" s="32" t="n">
        <v>0</v>
      </c>
      <c r="P56" s="32" t="n">
        <v>-0.0004</v>
      </c>
      <c r="Q56" s="32" t="n">
        <v>-0.0003</v>
      </c>
      <c r="R56" s="32" t="n">
        <v>-0.0003</v>
      </c>
      <c r="S56" s="32" t="n">
        <v>-0.0002</v>
      </c>
      <c r="V56" s="30" t="n">
        <v>0.1</v>
      </c>
      <c r="W56" s="30" t="n">
        <v>0.3</v>
      </c>
      <c r="X56" s="30" t="n">
        <v>-0.2</v>
      </c>
      <c r="Y56" s="30" t="n">
        <v>-0.1</v>
      </c>
      <c r="Z56" s="30" t="n">
        <v>0.2</v>
      </c>
      <c r="AA56" s="30" t="n">
        <v>0.3</v>
      </c>
      <c r="AB56" s="30" t="n">
        <v>-0.1</v>
      </c>
    </row>
    <row r="57">
      <c r="B57" s="13" t="inlineStr">
        <is>
          <t>W_r[2]</t>
        </is>
      </c>
      <c r="D57" s="13" t="n">
        <v>-0.1</v>
      </c>
      <c r="E57" s="13" t="n">
        <v>0.2</v>
      </c>
      <c r="F57" s="13" t="n">
        <v>0.2</v>
      </c>
      <c r="G57" s="13" t="n">
        <v>0.1</v>
      </c>
      <c r="H57" s="13" t="n">
        <v>0.1</v>
      </c>
      <c r="I57" s="13" t="n">
        <v>-0.2</v>
      </c>
      <c r="J57" s="13" t="n">
        <v>0.3</v>
      </c>
      <c r="M57" s="32" t="n">
        <v>0</v>
      </c>
      <c r="N57" s="32" t="n">
        <v>0</v>
      </c>
      <c r="O57" s="32" t="n">
        <v>0</v>
      </c>
      <c r="P57" s="32" t="n">
        <v>0</v>
      </c>
      <c r="Q57" s="32" t="n">
        <v>0</v>
      </c>
      <c r="R57" s="32" t="n">
        <v>0</v>
      </c>
      <c r="S57" s="32" t="n">
        <v>0</v>
      </c>
      <c r="V57" s="30" t="n">
        <v>-0.1</v>
      </c>
      <c r="W57" s="30" t="n">
        <v>0.2</v>
      </c>
      <c r="X57" s="30" t="n">
        <v>0.2</v>
      </c>
      <c r="Y57" s="30" t="n">
        <v>0.1</v>
      </c>
      <c r="Z57" s="30" t="n">
        <v>0.1</v>
      </c>
      <c r="AA57" s="30" t="n">
        <v>-0.2</v>
      </c>
      <c r="AB57" s="30" t="n">
        <v>0.3</v>
      </c>
    </row>
    <row r="59">
      <c r="B59" s="13" t="inlineStr">
        <is>
          <t>b_r</t>
        </is>
      </c>
      <c r="D59" s="13" t="n">
        <v>0</v>
      </c>
      <c r="E59" s="13" t="n">
        <v>0</v>
      </c>
      <c r="F59" s="13" t="n">
        <v>0</v>
      </c>
      <c r="M59" s="32" t="n">
        <v>0.0001</v>
      </c>
      <c r="N59" s="32" t="n">
        <v>-0.0007</v>
      </c>
      <c r="O59" s="32" t="n">
        <v>0.0001</v>
      </c>
      <c r="V59" s="30" t="n">
        <v>0</v>
      </c>
      <c r="W59" s="30" t="n">
        <v>0.0001</v>
      </c>
      <c r="X59" s="30" t="n">
        <v>0</v>
      </c>
    </row>
    <row r="62">
      <c r="B62" s="7" t="inlineStr">
        <is>
          <t>═══ Update Gate (W_z, b_z) Update ═══</t>
        </is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4" t="n"/>
    </row>
    <row r="64">
      <c r="B64" s="16" t="inlineStr"/>
      <c r="D64" s="7" t="inlineStr">
        <is>
          <t>Original</t>
        </is>
      </c>
      <c r="E64" s="3" t="n"/>
      <c r="F64" s="3" t="n"/>
      <c r="G64" s="3" t="n"/>
      <c r="H64" s="3" t="n"/>
      <c r="I64" s="3" t="n"/>
      <c r="J64" s="3" t="n"/>
      <c r="K64" s="4" t="n"/>
      <c r="M64" s="28" t="inlineStr">
        <is>
          <t>Gradient</t>
        </is>
      </c>
      <c r="N64" s="3" t="n"/>
      <c r="O64" s="3" t="n"/>
      <c r="P64" s="3" t="n"/>
      <c r="Q64" s="3" t="n"/>
      <c r="R64" s="3" t="n"/>
      <c r="S64" s="3" t="n"/>
      <c r="T64" s="4" t="n"/>
      <c r="V64" s="29" t="inlineStr">
        <is>
          <t>Updated</t>
        </is>
      </c>
      <c r="W64" s="3" t="n"/>
      <c r="X64" s="3" t="n"/>
      <c r="Y64" s="3" t="n"/>
      <c r="Z64" s="3" t="n"/>
      <c r="AA64" s="3" t="n"/>
      <c r="AB64" s="3" t="n"/>
      <c r="AC64" s="4" t="n"/>
    </row>
    <row r="65">
      <c r="D65" s="16" t="inlineStr">
        <is>
          <t>h[0]</t>
        </is>
      </c>
      <c r="E65" s="16" t="inlineStr">
        <is>
          <t>h[1]</t>
        </is>
      </c>
      <c r="F65" s="16" t="inlineStr">
        <is>
          <t>h[2]</t>
        </is>
      </c>
      <c r="G65" s="16" t="inlineStr">
        <is>
          <t>x[0]</t>
        </is>
      </c>
      <c r="H65" s="16" t="inlineStr">
        <is>
          <t>x[1]</t>
        </is>
      </c>
      <c r="I65" s="16" t="inlineStr">
        <is>
          <t>x[2]</t>
        </is>
      </c>
      <c r="J65" s="16" t="inlineStr">
        <is>
          <t>x[3]</t>
        </is>
      </c>
      <c r="M65" s="16" t="inlineStr">
        <is>
          <t>h[0]</t>
        </is>
      </c>
      <c r="N65" s="16" t="inlineStr">
        <is>
          <t>h[1]</t>
        </is>
      </c>
      <c r="O65" s="16" t="inlineStr">
        <is>
          <t>h[2]</t>
        </is>
      </c>
      <c r="P65" s="16" t="inlineStr">
        <is>
          <t>x[0]</t>
        </is>
      </c>
      <c r="Q65" s="16" t="inlineStr">
        <is>
          <t>x[1]</t>
        </is>
      </c>
      <c r="R65" s="16" t="inlineStr">
        <is>
          <t>x[2]</t>
        </is>
      </c>
      <c r="S65" s="16" t="inlineStr">
        <is>
          <t>x[3]</t>
        </is>
      </c>
      <c r="V65" s="16" t="inlineStr">
        <is>
          <t>h[0]</t>
        </is>
      </c>
      <c r="W65" s="16" t="inlineStr">
        <is>
          <t>h[1]</t>
        </is>
      </c>
      <c r="X65" s="16" t="inlineStr">
        <is>
          <t>h[2]</t>
        </is>
      </c>
      <c r="Y65" s="16" t="inlineStr">
        <is>
          <t>x[0]</t>
        </is>
      </c>
      <c r="Z65" s="16" t="inlineStr">
        <is>
          <t>x[1]</t>
        </is>
      </c>
      <c r="AA65" s="16" t="inlineStr">
        <is>
          <t>x[2]</t>
        </is>
      </c>
      <c r="AB65" s="16" t="inlineStr">
        <is>
          <t>x[3]</t>
        </is>
      </c>
    </row>
    <row r="66">
      <c r="B66" s="12" t="inlineStr">
        <is>
          <t>W_z[0]</t>
        </is>
      </c>
      <c r="D66" s="12" t="n">
        <v>0.3</v>
      </c>
      <c r="E66" s="12" t="n">
        <v>-0.2</v>
      </c>
      <c r="F66" s="12" t="n">
        <v>0.1</v>
      </c>
      <c r="G66" s="12" t="n">
        <v>0.2</v>
      </c>
      <c r="H66" s="12" t="n">
        <v>0.1</v>
      </c>
      <c r="I66" s="12" t="n">
        <v>-0.1</v>
      </c>
      <c r="J66" s="12" t="n">
        <v>0.3</v>
      </c>
      <c r="M66" s="32" t="n">
        <v>-0.0004</v>
      </c>
      <c r="N66" s="32" t="n">
        <v>-0.0004</v>
      </c>
      <c r="O66" s="32" t="n">
        <v>-0.0002</v>
      </c>
      <c r="P66" s="32" t="n">
        <v>-0.0062</v>
      </c>
      <c r="Q66" s="32" t="n">
        <v>-0.0052</v>
      </c>
      <c r="R66" s="32" t="n">
        <v>-0.0041</v>
      </c>
      <c r="S66" s="32" t="n">
        <v>-0.0031</v>
      </c>
      <c r="V66" s="30" t="n">
        <v>0.3</v>
      </c>
      <c r="W66" s="30" t="n">
        <v>-0.2</v>
      </c>
      <c r="X66" s="30" t="n">
        <v>0.1</v>
      </c>
      <c r="Y66" s="30" t="n">
        <v>0.2006</v>
      </c>
      <c r="Z66" s="30" t="n">
        <v>0.1005</v>
      </c>
      <c r="AA66" s="30" t="n">
        <v>-0.09959999999999999</v>
      </c>
      <c r="AB66" s="30" t="n">
        <v>0.3003</v>
      </c>
    </row>
    <row r="67">
      <c r="B67" s="12" t="inlineStr">
        <is>
          <t>W_z[1]</t>
        </is>
      </c>
      <c r="D67" s="12" t="n">
        <v>-0.1</v>
      </c>
      <c r="E67" s="12" t="n">
        <v>0.2</v>
      </c>
      <c r="F67" s="12" t="n">
        <v>0.3</v>
      </c>
      <c r="G67" s="12" t="n">
        <v>0.1</v>
      </c>
      <c r="H67" s="12" t="n">
        <v>-0.2</v>
      </c>
      <c r="I67" s="12" t="n">
        <v>0.2</v>
      </c>
      <c r="J67" s="12" t="n">
        <v>0.1</v>
      </c>
      <c r="M67" s="32" t="n">
        <v>0.0001</v>
      </c>
      <c r="N67" s="32" t="n">
        <v>0.0001</v>
      </c>
      <c r="O67" s="32" t="n">
        <v>0.0001</v>
      </c>
      <c r="P67" s="32" t="n">
        <v>0.0021</v>
      </c>
      <c r="Q67" s="32" t="n">
        <v>0.0018</v>
      </c>
      <c r="R67" s="32" t="n">
        <v>0.0014</v>
      </c>
      <c r="S67" s="32" t="n">
        <v>0.0011</v>
      </c>
      <c r="V67" s="30" t="n">
        <v>-0.1</v>
      </c>
      <c r="W67" s="30" t="n">
        <v>0.2</v>
      </c>
      <c r="X67" s="30" t="n">
        <v>0.3</v>
      </c>
      <c r="Y67" s="30" t="n">
        <v>0.0998</v>
      </c>
      <c r="Z67" s="30" t="n">
        <v>-0.2002</v>
      </c>
      <c r="AA67" s="30" t="n">
        <v>0.1999</v>
      </c>
      <c r="AB67" s="30" t="n">
        <v>0.0999</v>
      </c>
    </row>
    <row r="68">
      <c r="B68" s="12" t="inlineStr">
        <is>
          <t>W_z[2]</t>
        </is>
      </c>
      <c r="D68" s="12" t="n">
        <v>0.2</v>
      </c>
      <c r="E68" s="12" t="n">
        <v>0.1</v>
      </c>
      <c r="F68" s="12" t="n">
        <v>-0.1</v>
      </c>
      <c r="G68" s="12" t="n">
        <v>0.3</v>
      </c>
      <c r="H68" s="12" t="n">
        <v>0.2</v>
      </c>
      <c r="I68" s="12" t="n">
        <v>0.1</v>
      </c>
      <c r="J68" s="12" t="n">
        <v>-0.2</v>
      </c>
      <c r="M68" s="32" t="n">
        <v>0.0001</v>
      </c>
      <c r="N68" s="32" t="n">
        <v>0.0001</v>
      </c>
      <c r="O68" s="32" t="n">
        <v>0</v>
      </c>
      <c r="P68" s="32" t="n">
        <v>0.0008</v>
      </c>
      <c r="Q68" s="32" t="n">
        <v>0.0007</v>
      </c>
      <c r="R68" s="32" t="n">
        <v>0.0005</v>
      </c>
      <c r="S68" s="32" t="n">
        <v>0.0004</v>
      </c>
      <c r="V68" s="30" t="n">
        <v>0.2</v>
      </c>
      <c r="W68" s="30" t="n">
        <v>0.1</v>
      </c>
      <c r="X68" s="30" t="n">
        <v>-0.1</v>
      </c>
      <c r="Y68" s="30" t="n">
        <v>0.2999</v>
      </c>
      <c r="Z68" s="30" t="n">
        <v>0.1999</v>
      </c>
      <c r="AA68" s="30" t="n">
        <v>0.0999</v>
      </c>
      <c r="AB68" s="30" t="n">
        <v>-0.2</v>
      </c>
    </row>
    <row r="70">
      <c r="B70" s="12" t="inlineStr">
        <is>
          <t>b_z</t>
        </is>
      </c>
      <c r="D70" s="12" t="n">
        <v>0</v>
      </c>
      <c r="E70" s="12" t="n">
        <v>0</v>
      </c>
      <c r="F70" s="12" t="n">
        <v>0</v>
      </c>
      <c r="M70" s="32" t="n">
        <v>-0.0103</v>
      </c>
      <c r="N70" s="32" t="n">
        <v>0.0035</v>
      </c>
      <c r="O70" s="32" t="n">
        <v>0.0013</v>
      </c>
      <c r="V70" s="30" t="n">
        <v>0.001</v>
      </c>
      <c r="W70" s="30" t="n">
        <v>-0.0004</v>
      </c>
      <c r="X70" s="30" t="n">
        <v>-0.0001</v>
      </c>
    </row>
    <row r="73">
      <c r="B73" s="8" t="inlineStr">
        <is>
          <t>═══ Candidate (W_h, b_h) Update ═══</t>
        </is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4" t="n"/>
    </row>
    <row r="75">
      <c r="B75" s="16" t="inlineStr"/>
      <c r="D75" s="8" t="inlineStr">
        <is>
          <t>Original</t>
        </is>
      </c>
      <c r="E75" s="3" t="n"/>
      <c r="F75" s="3" t="n"/>
      <c r="G75" s="3" t="n"/>
      <c r="H75" s="3" t="n"/>
      <c r="I75" s="3" t="n"/>
      <c r="J75" s="3" t="n"/>
      <c r="K75" s="4" t="n"/>
      <c r="M75" s="28" t="inlineStr">
        <is>
          <t>Gradient</t>
        </is>
      </c>
      <c r="N75" s="3" t="n"/>
      <c r="O75" s="3" t="n"/>
      <c r="P75" s="3" t="n"/>
      <c r="Q75" s="3" t="n"/>
      <c r="R75" s="3" t="n"/>
      <c r="S75" s="3" t="n"/>
      <c r="T75" s="4" t="n"/>
      <c r="V75" s="29" t="inlineStr">
        <is>
          <t>Updated</t>
        </is>
      </c>
      <c r="W75" s="3" t="n"/>
      <c r="X75" s="3" t="n"/>
      <c r="Y75" s="3" t="n"/>
      <c r="Z75" s="3" t="n"/>
      <c r="AA75" s="3" t="n"/>
      <c r="AB75" s="3" t="n"/>
      <c r="AC75" s="4" t="n"/>
    </row>
    <row r="76">
      <c r="D76" s="16" t="inlineStr">
        <is>
          <t>rh[0]</t>
        </is>
      </c>
      <c r="E76" s="16" t="inlineStr">
        <is>
          <t>rh[1]</t>
        </is>
      </c>
      <c r="F76" s="16" t="inlineStr">
        <is>
          <t>rh[2]</t>
        </is>
      </c>
      <c r="G76" s="16" t="inlineStr">
        <is>
          <t>x[0]</t>
        </is>
      </c>
      <c r="H76" s="16" t="inlineStr">
        <is>
          <t>x[1]</t>
        </is>
      </c>
      <c r="I76" s="16" t="inlineStr">
        <is>
          <t>x[2]</t>
        </is>
      </c>
      <c r="J76" s="16" t="inlineStr">
        <is>
          <t>x[3]</t>
        </is>
      </c>
      <c r="M76" s="16" t="inlineStr">
        <is>
          <t>rh[0]</t>
        </is>
      </c>
      <c r="N76" s="16" t="inlineStr">
        <is>
          <t>rh[1]</t>
        </is>
      </c>
      <c r="O76" s="16" t="inlineStr">
        <is>
          <t>rh[2]</t>
        </is>
      </c>
      <c r="P76" s="16" t="inlineStr">
        <is>
          <t>x[0]</t>
        </is>
      </c>
      <c r="Q76" s="16" t="inlineStr">
        <is>
          <t>x[1]</t>
        </is>
      </c>
      <c r="R76" s="16" t="inlineStr">
        <is>
          <t>x[2]</t>
        </is>
      </c>
      <c r="S76" s="16" t="inlineStr">
        <is>
          <t>x[3]</t>
        </is>
      </c>
      <c r="V76" s="16" t="inlineStr">
        <is>
          <t>rh[0]</t>
        </is>
      </c>
      <c r="W76" s="16" t="inlineStr">
        <is>
          <t>rh[1]</t>
        </is>
      </c>
      <c r="X76" s="16" t="inlineStr">
        <is>
          <t>rh[2]</t>
        </is>
      </c>
      <c r="Y76" s="16" t="inlineStr">
        <is>
          <t>x[0]</t>
        </is>
      </c>
      <c r="Z76" s="16" t="inlineStr">
        <is>
          <t>x[1]</t>
        </is>
      </c>
      <c r="AA76" s="16" t="inlineStr">
        <is>
          <t>x[2]</t>
        </is>
      </c>
      <c r="AB76" s="16" t="inlineStr">
        <is>
          <t>x[3]</t>
        </is>
      </c>
    </row>
    <row r="77">
      <c r="B77" s="14" t="inlineStr">
        <is>
          <t>W_h[0]</t>
        </is>
      </c>
      <c r="D77" s="14" t="n">
        <v>0.1</v>
      </c>
      <c r="E77" s="14" t="n">
        <v>0.2</v>
      </c>
      <c r="F77" s="14" t="n">
        <v>-0.1</v>
      </c>
      <c r="G77" s="14" t="n">
        <v>0.2</v>
      </c>
      <c r="H77" s="14" t="n">
        <v>-0.1</v>
      </c>
      <c r="I77" s="14" t="n">
        <v>0.3</v>
      </c>
      <c r="J77" s="14" t="n">
        <v>0.1</v>
      </c>
      <c r="M77" s="32" t="n">
        <v>-0.0028</v>
      </c>
      <c r="N77" s="32" t="n">
        <v>-0.0028</v>
      </c>
      <c r="O77" s="32" t="n">
        <v>-0.001</v>
      </c>
      <c r="P77" s="32" t="n">
        <v>-0.0737</v>
      </c>
      <c r="Q77" s="32" t="n">
        <v>-0.0614</v>
      </c>
      <c r="R77" s="32" t="n">
        <v>-0.0491</v>
      </c>
      <c r="S77" s="32" t="n">
        <v>-0.0368</v>
      </c>
      <c r="V77" s="30" t="n">
        <v>0.1003</v>
      </c>
      <c r="W77" s="30" t="n">
        <v>0.2003</v>
      </c>
      <c r="X77" s="30" t="n">
        <v>-0.0999</v>
      </c>
      <c r="Y77" s="30" t="n">
        <v>0.2074</v>
      </c>
      <c r="Z77" s="30" t="n">
        <v>-0.0939</v>
      </c>
      <c r="AA77" s="30" t="n">
        <v>0.3049</v>
      </c>
      <c r="AB77" s="30" t="n">
        <v>0.1037</v>
      </c>
    </row>
    <row r="78">
      <c r="B78" s="14" t="inlineStr">
        <is>
          <t>W_h[1]</t>
        </is>
      </c>
      <c r="D78" s="14" t="n">
        <v>0.2</v>
      </c>
      <c r="E78" s="14" t="n">
        <v>-0.1</v>
      </c>
      <c r="F78" s="14" t="n">
        <v>0.2</v>
      </c>
      <c r="G78" s="14" t="n">
        <v>0.1</v>
      </c>
      <c r="H78" s="14" t="n">
        <v>0.2</v>
      </c>
      <c r="I78" s="14" t="n">
        <v>-0.2</v>
      </c>
      <c r="J78" s="14" t="n">
        <v>0.2</v>
      </c>
      <c r="M78" s="32" t="n">
        <v>0.0016</v>
      </c>
      <c r="N78" s="32" t="n">
        <v>0.0016</v>
      </c>
      <c r="O78" s="32" t="n">
        <v>0.0005</v>
      </c>
      <c r="P78" s="32" t="n">
        <v>0.0426</v>
      </c>
      <c r="Q78" s="32" t="n">
        <v>0.0355</v>
      </c>
      <c r="R78" s="32" t="n">
        <v>0.0284</v>
      </c>
      <c r="S78" s="32" t="n">
        <v>0.0213</v>
      </c>
      <c r="V78" s="30" t="n">
        <v>0.1998</v>
      </c>
      <c r="W78" s="30" t="n">
        <v>-0.1002</v>
      </c>
      <c r="X78" s="30" t="n">
        <v>0.1999</v>
      </c>
      <c r="Y78" s="30" t="n">
        <v>0.09569999999999999</v>
      </c>
      <c r="Z78" s="30" t="n">
        <v>0.1965</v>
      </c>
      <c r="AA78" s="30" t="n">
        <v>-0.2028</v>
      </c>
      <c r="AB78" s="30" t="n">
        <v>0.1979</v>
      </c>
    </row>
    <row r="79">
      <c r="B79" s="14" t="inlineStr">
        <is>
          <t>W_h[2]</t>
        </is>
      </c>
      <c r="D79" s="14" t="n">
        <v>-0.1</v>
      </c>
      <c r="E79" s="14" t="n">
        <v>0.3</v>
      </c>
      <c r="F79" s="14" t="n">
        <v>0.1</v>
      </c>
      <c r="G79" s="14" t="n">
        <v>-0.2</v>
      </c>
      <c r="H79" s="14" t="n">
        <v>0.1</v>
      </c>
      <c r="I79" s="14" t="n">
        <v>0.2</v>
      </c>
      <c r="J79" s="14" t="n">
        <v>-0.1</v>
      </c>
      <c r="M79" s="32" t="n">
        <v>-0.0024</v>
      </c>
      <c r="N79" s="32" t="n">
        <v>-0.0024</v>
      </c>
      <c r="O79" s="32" t="n">
        <v>-0.0008</v>
      </c>
      <c r="P79" s="32" t="n">
        <v>-0.06320000000000001</v>
      </c>
      <c r="Q79" s="32" t="n">
        <v>-0.0527</v>
      </c>
      <c r="R79" s="32" t="n">
        <v>-0.0422</v>
      </c>
      <c r="S79" s="32" t="n">
        <v>-0.0316</v>
      </c>
      <c r="V79" s="30" t="n">
        <v>-0.0998</v>
      </c>
      <c r="W79" s="30" t="n">
        <v>0.3002</v>
      </c>
      <c r="X79" s="30" t="n">
        <v>0.1001</v>
      </c>
      <c r="Y79" s="30" t="n">
        <v>-0.1937</v>
      </c>
      <c r="Z79" s="30" t="n">
        <v>0.1053</v>
      </c>
      <c r="AA79" s="30" t="n">
        <v>0.2042</v>
      </c>
      <c r="AB79" s="30" t="n">
        <v>-0.0968</v>
      </c>
    </row>
    <row r="81">
      <c r="B81" s="14" t="inlineStr">
        <is>
          <t>b_h</t>
        </is>
      </c>
      <c r="D81" s="14" t="n">
        <v>0</v>
      </c>
      <c r="E81" s="14" t="n">
        <v>0</v>
      </c>
      <c r="F81" s="14" t="n">
        <v>0</v>
      </c>
      <c r="M81" s="32" t="n">
        <v>-0.1228</v>
      </c>
      <c r="N81" s="32" t="n">
        <v>0.0709</v>
      </c>
      <c r="O81" s="32" t="n">
        <v>-0.1054</v>
      </c>
      <c r="V81" s="30" t="n">
        <v>0.0123</v>
      </c>
      <c r="W81" s="30" t="n">
        <v>-0.0071</v>
      </c>
      <c r="X81" s="30" t="n">
        <v>0.0105</v>
      </c>
    </row>
    <row r="84">
      <c r="B84" s="1" t="inlineStr">
        <is>
          <t>═══ BPTT Note ═══</t>
        </is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4" t="n"/>
    </row>
    <row r="86">
      <c r="B86" t="inlineStr">
        <is>
          <t>• Above calculation shows only last timestep gradient</t>
        </is>
      </c>
    </row>
    <row r="87">
      <c r="B87" t="inlineStr">
        <is>
          <t>• Actually calculate gradients at all timesteps then sum</t>
        </is>
      </c>
    </row>
    <row r="89">
      <c r="B89" t="inlineStr">
        <is>
          <t>• GRU's gradient flow:</t>
        </is>
      </c>
    </row>
    <row r="90">
      <c r="B90" t="inlineStr">
        <is>
          <t xml:space="preserve">  dL/dh_{t-1} = dL/dh_t ⊙ (1-z_t) + (r_t related terms)</t>
        </is>
      </c>
    </row>
    <row r="92">
      <c r="B92" t="inlineStr">
        <is>
          <t>• When z_t ≈ 0: dL/dh_{t-1} ≈ dL/dh_t (gradient preserved)</t>
        </is>
      </c>
    </row>
    <row r="93">
      <c r="B93" t="inlineStr">
        <is>
          <t>• Mitigates vanishing gradient similar to LSTM</t>
        </is>
      </c>
    </row>
  </sheetData>
  <mergeCells count="19">
    <mergeCell ref="B18:AE18"/>
    <mergeCell ref="M53:T53"/>
    <mergeCell ref="B2:AH2"/>
    <mergeCell ref="M64:T64"/>
    <mergeCell ref="V64:AC64"/>
    <mergeCell ref="B73:AE73"/>
    <mergeCell ref="B44:AE44"/>
    <mergeCell ref="B84:AE84"/>
    <mergeCell ref="D75:K75"/>
    <mergeCell ref="M75:T75"/>
    <mergeCell ref="A1:J1"/>
    <mergeCell ref="D53:K53"/>
    <mergeCell ref="B6:AE6"/>
    <mergeCell ref="B51:AE51"/>
    <mergeCell ref="B26:AE26"/>
    <mergeCell ref="V75:AC75"/>
    <mergeCell ref="D64:K64"/>
    <mergeCell ref="V53:AC53"/>
    <mergeCell ref="B62:AE6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33" t="inlineStr">
        <is>
          <t>[Description] Reference solutions for self-checking your calculations.</t>
        </is>
      </c>
    </row>
    <row r="2">
      <c r="B2" s="1" t="inlineStr">
        <is>
          <t>Answer Key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4" t="n"/>
    </row>
    <row r="4">
      <c r="B4" s="2" t="inlineStr">
        <is>
          <t>Input: 'this movie is good' (y_true = 1)</t>
        </is>
      </c>
    </row>
    <row r="6">
      <c r="B6" s="2" t="inlineStr">
        <is>
          <t>t=0 'this':</t>
        </is>
      </c>
    </row>
    <row r="7">
      <c r="B7" s="24" t="inlineStr">
        <is>
          <t xml:space="preserve">  r_t = [0.5225, 0.485, 0.5349]</t>
        </is>
      </c>
    </row>
    <row r="8">
      <c r="B8" s="25" t="inlineStr">
        <is>
          <t xml:space="preserve">  z_t = [0.5374, 0.5025, 0.5025]</t>
        </is>
      </c>
    </row>
    <row r="9">
      <c r="B9" s="26" t="inlineStr">
        <is>
          <t xml:space="preserve">  h̃_t = [0.03, 0.1194, -0.0798]</t>
        </is>
      </c>
    </row>
    <row r="10">
      <c r="B10" s="27" t="inlineStr">
        <is>
          <t xml:space="preserve">  h_t = [0.0161, 0.06, -0.0401]</t>
        </is>
      </c>
    </row>
    <row r="12">
      <c r="B12" s="2" t="inlineStr">
        <is>
          <t>t=1 'movie':</t>
        </is>
      </c>
    </row>
    <row r="13">
      <c r="B13" s="24" t="inlineStr">
        <is>
          <t xml:space="preserve">  r_t = [0.5208, 0.5269, 0.5031]</t>
        </is>
      </c>
    </row>
    <row r="14">
      <c r="B14" s="25" t="inlineStr">
        <is>
          <t xml:space="preserve">  z_t = [0.5172, 0.5046, 0.5654]</t>
        </is>
      </c>
    </row>
    <row r="15">
      <c r="B15" s="26" t="inlineStr">
        <is>
          <t xml:space="preserve">  h̃_t = [0.1285, 0.0445, -0.0134]</t>
        </is>
      </c>
    </row>
    <row r="16">
      <c r="B16" s="27" t="inlineStr">
        <is>
          <t xml:space="preserve">  h_t = [0.0742, 0.0522, -0.025]</t>
        </is>
      </c>
    </row>
    <row r="18">
      <c r="B18" s="2" t="inlineStr">
        <is>
          <t>t=2 'is':</t>
        </is>
      </c>
    </row>
    <row r="19">
      <c r="B19" s="24" t="inlineStr">
        <is>
          <t xml:space="preserve">  r_t = [0.4918, 0.5245, 0.5045]</t>
        </is>
      </c>
    </row>
    <row r="20">
      <c r="B20" s="25" t="inlineStr">
        <is>
          <t xml:space="preserve">  z_t = [0.5073, 0.4939, 0.5056]</t>
        </is>
      </c>
    </row>
    <row r="21">
      <c r="B21" s="26" t="inlineStr">
        <is>
          <t xml:space="preserve">  h̃_t = [0.0104, 0.032, 0.0532]</t>
        </is>
      </c>
    </row>
    <row r="22">
      <c r="B22" s="27" t="inlineStr">
        <is>
          <t xml:space="preserve">  h_t = [0.0418, 0.0422, 0.0146]</t>
        </is>
      </c>
    </row>
    <row r="24">
      <c r="B24" s="2" t="inlineStr">
        <is>
          <t>t=3 'good':</t>
        </is>
      </c>
    </row>
    <row r="25">
      <c r="B25" s="24" t="inlineStr">
        <is>
          <t xml:space="preserve">  r_t = [0.5463, 0.5359, 0.5318]</t>
        </is>
      </c>
    </row>
    <row r="26">
      <c r="B26" s="25" t="inlineStr">
        <is>
          <t xml:space="preserve">  z_t = [0.5562, 0.5196, 0.5674]</t>
        </is>
      </c>
    </row>
    <row r="27">
      <c r="B27" s="26" t="inlineStr">
        <is>
          <t xml:space="preserve">  h̃_t = [0.2223, 0.1429, -0.0147]</t>
        </is>
      </c>
    </row>
    <row r="28">
      <c r="B28" s="27" t="inlineStr">
        <is>
          <t xml:space="preserve">  h_t = [0.1422, 0.0945, -0.0021]</t>
        </is>
      </c>
    </row>
    <row r="30">
      <c r="B30" s="9" t="inlineStr">
        <is>
          <t>h_final = [0.1422, 0.0945, -0.0021]</t>
        </is>
      </c>
    </row>
    <row r="31">
      <c r="B31" s="21" t="inlineStr">
        <is>
          <t>y_pred = 0.5354</t>
        </is>
      </c>
    </row>
    <row r="32">
      <c r="B32" s="28" t="inlineStr">
        <is>
          <t>Loss = 0.6247</t>
        </is>
      </c>
    </row>
  </sheetData>
  <mergeCells count="2">
    <mergeCell ref="A1:J1"/>
    <mergeCell ref="B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2026-01-20T06:32:38Z</dcterms:created>
  <dcterms:modified xmlns:dcterms="http://purl.org/dc/terms/" xmlns:xsi="http://www.w3.org/2001/XMLSchema-instance" xsi:type="dcterms:W3CDTF">2026-01-29T02:07:46Z</dcterms:modified>
</cp:coreProperties>
</file>