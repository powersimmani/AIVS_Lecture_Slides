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13_ncr:1_{4690C081-6289-5C4E-A9E2-3ABE49B6459F}" xr6:coauthVersionLast="47" xr6:coauthVersionMax="47" xr10:uidLastSave="{00000000-0000-0000-0000-000000000000}"/>
  <bookViews>
    <workbookView xWindow="4300" yWindow="680" windowWidth="29900" windowHeight="19120" activeTab="5" xr2:uid="{00000000-000D-0000-FFFF-FFFF00000000}"/>
  </bookViews>
  <sheets>
    <sheet name="Overview" sheetId="1" r:id="rId1"/>
    <sheet name="Parameters" sheetId="2" r:id="rId2"/>
    <sheet name="Forward" sheetId="3" r:id="rId3"/>
    <sheet name="Gate_Visualization" sheetId="4" r:id="rId4"/>
    <sheet name="GRU_vs_LSTM" sheetId="5" r:id="rId5"/>
    <sheet name="Backward" sheetId="6" r:id="rId6"/>
    <sheet name="Answer_Ke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6" l="1"/>
  <c r="E41" i="6"/>
  <c r="E40" i="6"/>
  <c r="R150" i="3"/>
  <c r="R149" i="3"/>
  <c r="R148" i="3"/>
  <c r="R114" i="3"/>
  <c r="R113" i="3"/>
  <c r="R112" i="3"/>
  <c r="R78" i="3"/>
  <c r="D78" i="3"/>
  <c r="R77" i="3"/>
  <c r="D77" i="3"/>
  <c r="R76" i="3"/>
  <c r="D76" i="3"/>
  <c r="R42" i="3"/>
  <c r="R41" i="3"/>
  <c r="R40" i="3"/>
</calcChain>
</file>

<file path=xl/sharedStrings.xml><?xml version="1.0" encoding="utf-8"?>
<sst xmlns="http://schemas.openxmlformats.org/spreadsheetml/2006/main" count="536" uniqueCount="341">
  <si>
    <t>[Description] Gated Recurrent Unit (GRU) - simplified variant of LSTM with only 2 gates, fewer parameters but similar performance.</t>
  </si>
  <si>
    <t>GRU (Gated Recurrent Unit)</t>
  </si>
  <si>
    <t>═══ GRU: Simplified Version of LSTM ═══</t>
  </si>
  <si>
    <t>• Reduced LSTM's 4 gates to 2 (Reset, Update)</t>
  </si>
  <si>
    <t>• Use only Hidden State without Cell State</t>
  </si>
  <si>
    <t>• Similar performance with fewer parameters</t>
  </si>
  <si>
    <t>• Faster learning and more computationally efficient</t>
  </si>
  <si>
    <t>═══ GRU Architecture ═══</t>
  </si>
  <si>
    <t>Reset Gate (r_t)</t>
  </si>
  <si>
    <t>How much to forget past information</t>
  </si>
  <si>
    <t>σ(W_r·[h_{t-1}, x_t] + b_r)</t>
  </si>
  <si>
    <t>Update Gate (z_t)</t>
  </si>
  <si>
    <t>Ratio of past and new information</t>
  </si>
  <si>
    <t>σ(W_z·[h_{t-1}, x_t] + b_z)</t>
  </si>
  <si>
    <t>Candidate (h̃_t)</t>
  </si>
  <si>
    <t>New candidate hidden state</t>
  </si>
  <si>
    <t>tanh(W_h·[r_t⊙h_{t-1}, x_t] + b_h)</t>
  </si>
  <si>
    <t>═══ Hidden State Update ═══</t>
  </si>
  <si>
    <t>h_t = (1 - z_t) ⊙ h_{t-1} + z_t ⊙ h̃_t</t>
  </si>
  <si>
    <t>• (1 - z_t): Ratio of preserving past information</t>
  </si>
  <si>
    <t>• z_t: Ratio of new information</t>
  </si>
  <si>
    <t>• z_t ≈ 0: Keep past info (h_t ≈ h_{t-1})</t>
  </si>
  <si>
    <t>• z_t ≈ 1: Replace with new info (h_t ≈ h̃_t)</t>
  </si>
  <si>
    <t>═══ GRU Cell Diagram ═══</t>
  </si>
  <si>
    <t>h_{t-1}</t>
  </si>
  <si>
    <t>────→</t>
  </si>
  <si>
    <t>×(1-z_t)</t>
  </si>
  <si>
    <t>───────→</t>
  </si>
  <si>
    <t>+</t>
  </si>
  <si>
    <t>──→</t>
  </si>
  <si>
    <t>h_t</t>
  </si>
  <si>
    <t>│</t>
  </si>
  <si>
    <t>↑</t>
  </si>
  <si>
    <t>×r_t</t>
  </si>
  <si>
    <t>h̃_t</t>
  </si>
  <si>
    <t>×z_t</t>
  </si>
  <si>
    <t>──↗</t>
  </si>
  <si>
    <t>x_t</t>
  </si>
  <si>
    <t>[concat]</t>
  </si>
  <si>
    <t>r_t, z_t</t>
  </si>
  <si>
    <t>Input: 'this movie is good' (y_true = 1)</t>
  </si>
  <si>
    <t>Embedding dim: 4, Hidden dim: 3</t>
  </si>
  <si>
    <t>[Description] GRU parameters: Reset gate, Update gate weights and biases. Simpler than LSTM (no separate cell state).</t>
  </si>
  <si>
    <t>GRU Parameters</t>
  </si>
  <si>
    <t>═══ Embedding ═══</t>
  </si>
  <si>
    <t>this</t>
  </si>
  <si>
    <t>movie</t>
  </si>
  <si>
    <t>is</t>
  </si>
  <si>
    <t>good</t>
  </si>
  <si>
    <t>═══ Reset Gate (W_r, b_r) ═══</t>
  </si>
  <si>
    <t>W (3×7):</t>
  </si>
  <si>
    <t>h[0]</t>
  </si>
  <si>
    <t>h[1]</t>
  </si>
  <si>
    <t>h[2]</t>
  </si>
  <si>
    <t>x[0]</t>
  </si>
  <si>
    <t>x[1]</t>
  </si>
  <si>
    <t>x[2]</t>
  </si>
  <si>
    <t>x[3]</t>
  </si>
  <si>
    <t>b:</t>
  </si>
  <si>
    <t>═══ Update Gate (W_z, b_z) ═══</t>
  </si>
  <si>
    <t>═══ Candidate (W_h, b_h) ═══</t>
  </si>
  <si>
    <t>═══ Output Layer ═══</t>
  </si>
  <si>
    <t>W_hy:</t>
  </si>
  <si>
    <t>b_y:</t>
  </si>
  <si>
    <t>[Description] GRU forward: Reset gate controls how much past to forget, Update gate controls how much new info to add.</t>
  </si>
  <si>
    <t>GRU Forward Pass (Detailed)</t>
  </si>
  <si>
    <t>═══ GRU Equations ═══</t>
  </si>
  <si>
    <t>Reset Gate</t>
  </si>
  <si>
    <t>r_t = σ(W_r·[h_{t-1}, x_t] + b_r)</t>
  </si>
  <si>
    <t>Update Gate</t>
  </si>
  <si>
    <t>z_t = σ(W_z·[h_{t-1}, x_t] + b_z)</t>
  </si>
  <si>
    <t>Candidate</t>
  </si>
  <si>
    <t>h̃_t = tanh(W_h·[r_t⊙h_{t-1}, x_t] + b_h)</t>
  </si>
  <si>
    <t>Hidden State</t>
  </si>
  <si>
    <t>h_t = (1-z_t)⊙h_{t-1} + z_t⊙h̃_t</t>
  </si>
  <si>
    <t>═══ t=0: 'this' ═══</t>
  </si>
  <si>
    <t>x_t =</t>
  </si>
  <si>
    <t>h_{t-1} =</t>
  </si>
  <si>
    <t>[h_{t-1}, x_t] =</t>
  </si>
  <si>
    <t>① Reset Gate r_t = σ(W_r·[h,x] + b_r):</t>
  </si>
  <si>
    <t xml:space="preserve">  r[0]</t>
  </si>
  <si>
    <t xml:space="preserve">  r[1]</t>
  </si>
  <si>
    <t xml:space="preserve">  r[2]</t>
  </si>
  <si>
    <t>② Update Gate z_t = σ(W_z·[h,x] + b_z):</t>
  </si>
  <si>
    <t xml:space="preserve">  z[0]</t>
  </si>
  <si>
    <t xml:space="preserve">  z[1]</t>
  </si>
  <si>
    <t xml:space="preserve">  z[2]</t>
  </si>
  <si>
    <t>③ r_t ⊙ h_{t-1}:</t>
  </si>
  <si>
    <t xml:space="preserve">  [0]</t>
  </si>
  <si>
    <t xml:space="preserve">  [1]</t>
  </si>
  <si>
    <t xml:space="preserve">  [2]</t>
  </si>
  <si>
    <t>④ Candidate h̃_t = tanh(W_h·[r⊙h, x] + b_h):</t>
  </si>
  <si>
    <t xml:space="preserve">  h̃[0]</t>
  </si>
  <si>
    <t xml:space="preserve">  h̃[1]</t>
  </si>
  <si>
    <t xml:space="preserve">  h̃[2]</t>
  </si>
  <si>
    <t>⑤ h_t = (1-z_t)⊙h_{t-1} + z_t⊙h̃_t:</t>
  </si>
  <si>
    <t xml:space="preserve">  h[0]</t>
  </si>
  <si>
    <t xml:space="preserve">  h[1]</t>
  </si>
  <si>
    <t xml:space="preserve">  h[2]</t>
  </si>
  <si>
    <t>→ h_t =</t>
  </si>
  <si>
    <t>═══ t=1: 'movie' ═══</t>
  </si>
  <si>
    <t>═══ t=2: 'is' ═══</t>
  </si>
  <si>
    <t>═══ t=3: 'good' ═══</t>
  </si>
  <si>
    <t>═══ Final Output ═══</t>
  </si>
  <si>
    <t>h_final =</t>
  </si>
  <si>
    <t>z_y = W_hy · h_final + b_y:</t>
  </si>
  <si>
    <t xml:space="preserve">  = (0.5×0.1422) + (-0.3×0.0945) + (0.4×-0.0021) + 0.1</t>
  </si>
  <si>
    <t xml:space="preserve">  = 0.1419</t>
  </si>
  <si>
    <t>y_pred = sigmoid(0.1419) = 0.5354</t>
  </si>
  <si>
    <t>BCE Loss = 0.6247</t>
  </si>
  <si>
    <t>[Description] Visualize gate activations over time steps to understand what information the GRU retains or forgets.</t>
  </si>
  <si>
    <t>Gate Values Over Time</t>
  </si>
  <si>
    <t>═══ Reset Gate (r_t) - How Much to Reset Past Info ═══</t>
  </si>
  <si>
    <t>Close to 0 = ignore past, close to 1 = keep past</t>
  </si>
  <si>
    <t>Time</t>
  </si>
  <si>
    <t>Word</t>
  </si>
  <si>
    <t>r[0]</t>
  </si>
  <si>
    <t>r[1]</t>
  </si>
  <si>
    <t>r[2]</t>
  </si>
  <si>
    <t>t=0</t>
  </si>
  <si>
    <t>52.2%</t>
  </si>
  <si>
    <t>48.5%</t>
  </si>
  <si>
    <t>53.5%</t>
  </si>
  <si>
    <t>t=1</t>
  </si>
  <si>
    <t>52.1%</t>
  </si>
  <si>
    <t>52.7%</t>
  </si>
  <si>
    <t>50.3%</t>
  </si>
  <si>
    <t>t=2</t>
  </si>
  <si>
    <t>49.2%</t>
  </si>
  <si>
    <t>52.4%</t>
  </si>
  <si>
    <t>50.5%</t>
  </si>
  <si>
    <t>t=3</t>
  </si>
  <si>
    <t>54.6%</t>
  </si>
  <si>
    <t>53.6%</t>
  </si>
  <si>
    <t>53.2%</t>
  </si>
  <si>
    <t>═══ Update Gate (z_t) - New Information Ratio ═══</t>
  </si>
  <si>
    <t>Close to 0 = keep past, close to 1 = replace with new info</t>
  </si>
  <si>
    <t>z[0]</t>
  </si>
  <si>
    <t>z[1]</t>
  </si>
  <si>
    <t>z[2]</t>
  </si>
  <si>
    <t>53.7%</t>
  </si>
  <si>
    <t>50.2%</t>
  </si>
  <si>
    <t>51.7%</t>
  </si>
  <si>
    <t>56.5%</t>
  </si>
  <si>
    <t>50.7%</t>
  </si>
  <si>
    <t>49.4%</t>
  </si>
  <si>
    <t>50.6%</t>
  </si>
  <si>
    <t>55.6%</t>
  </si>
  <si>
    <t>52.0%</t>
  </si>
  <si>
    <t>56.7%</t>
  </si>
  <si>
    <t>═══ Hidden State (h_t) ═══</t>
  </si>
  <si>
    <t>[Description] Compare GRU vs LSTM: GRU has fewer parameters and faster training, LSTM may capture longer dependencies.</t>
  </si>
  <si>
    <t>GRU vs LSTM Comparison</t>
  </si>
  <si>
    <t>GRU</t>
  </si>
  <si>
    <t>LSTM</t>
  </si>
  <si>
    <t>Number of gates</t>
  </si>
  <si>
    <t>2 (Reset, Update)</t>
  </si>
  <si>
    <t>4 (Forget, Input, Output, Cell)</t>
  </si>
  <si>
    <t>State</t>
  </si>
  <si>
    <t>Hidden State only</t>
  </si>
  <si>
    <t>Cell State + Hidden State</t>
  </si>
  <si>
    <t>Formula complexity</t>
  </si>
  <si>
    <t>Simpler</t>
  </si>
  <si>
    <t>More complex</t>
  </si>
  <si>
    <t>Number of parameters</t>
  </si>
  <si>
    <t>3 weight matrices</t>
  </si>
  <si>
    <t>4 weight matrices</t>
  </si>
  <si>
    <t>Computation speed</t>
  </si>
  <si>
    <t>Faster</t>
  </si>
  <si>
    <t>Slower</t>
  </si>
  <si>
    <t>Memory</t>
  </si>
  <si>
    <t>Less</t>
  </si>
  <si>
    <t>More</t>
  </si>
  <si>
    <t>Long-term dependency</t>
  </si>
  <si>
    <t>Good</t>
  </si>
  <si>
    <t>Very good</t>
  </si>
  <si>
    <t>General performance</t>
  </si>
  <si>
    <t>Similar</t>
  </si>
  <si>
    <t>═══ Key Differences ═══</t>
  </si>
  <si>
    <t>GRU's Update Gate performs both LSTM's Forget Gate + Input Gate roles:</t>
  </si>
  <si>
    <t xml:space="preserve">  • LSTM: c_t = f_t⊙c_{t-1} + i_t⊙c̃_t  (separate f_t, i_t)</t>
  </si>
  <si>
    <t xml:space="preserve">  • GRU:  h_t = (1-z_t)⊙h_{t-1} + z_t⊙h̃_t  (controlled by single z_t)</t>
  </si>
  <si>
    <t>GRU's Reset Gate plays a similar role to LSTM's Output Gate:</t>
  </si>
  <si>
    <t xml:space="preserve">  • Decide how much past info to reflect in candidate calculation</t>
  </si>
  <si>
    <t>When to choose GRU?</t>
  </si>
  <si>
    <t xml:space="preserve">  • When dataset is small (prevent overfitting)</t>
  </si>
  <si>
    <t xml:space="preserve">  • When fast learning is needed</t>
  </si>
  <si>
    <t xml:space="preserve">  • When computational resources are limited</t>
  </si>
  <si>
    <t>When to choose LSTM?</t>
  </si>
  <si>
    <t xml:space="preserve">  • When handling very long sequences</t>
  </si>
  <si>
    <t xml:space="preserve">  • When sufficient data and resources are available</t>
  </si>
  <si>
    <t>[Description] GRU backpropagation: Compute gradients for reset and update gates, then update all parameters.</t>
  </si>
  <si>
    <t>GRU Backward Pass - Original → Gradient → Updated</t>
  </si>
  <si>
    <t>Learning Rate: 0.1</t>
  </si>
  <si>
    <t>═══ Output Layer Gradients ═══</t>
  </si>
  <si>
    <t>dL/dy_pred = y_pred - y_true = 0.5354 - 1 = -0.4646</t>
  </si>
  <si>
    <t>W_hy</t>
  </si>
  <si>
    <t>Original</t>
  </si>
  <si>
    <t>Gradient</t>
  </si>
  <si>
    <t>Updated</t>
  </si>
  <si>
    <t>W_hy[0]</t>
  </si>
  <si>
    <t>W_hy[1]</t>
  </si>
  <si>
    <t>W_hy[2]</t>
  </si>
  <si>
    <t>b_y</t>
  </si>
  <si>
    <t>═══ Gradient to Hidden State ═══</t>
  </si>
  <si>
    <t>dL/dh_final = W_hy^T × dL/dz_y:</t>
  </si>
  <si>
    <t xml:space="preserve">  dL/dh[0]</t>
  </si>
  <si>
    <t xml:space="preserve">  dL/dh[1]</t>
  </si>
  <si>
    <t xml:space="preserve">  dL/dh[2]</t>
  </si>
  <si>
    <t>═══ Gate Gradients (t=3: 'good') ═══</t>
  </si>
  <si>
    <t>① dL/dz_t = dL/dh_t ⊙ (-h_{t-1} + h̃_t):</t>
  </si>
  <si>
    <t xml:space="preserve">  dL/dz[0]</t>
  </si>
  <si>
    <t xml:space="preserve">  dL/dz[1]</t>
  </si>
  <si>
    <t xml:space="preserve">  dL/dz[2]</t>
  </si>
  <si>
    <t>② dL/dh̃_t = dL/dh_t ⊙ z_t:</t>
  </si>
  <si>
    <t xml:space="preserve">  dL/dh̃[0]</t>
  </si>
  <si>
    <t xml:space="preserve">  dL/dh̃[1]</t>
  </si>
  <si>
    <t xml:space="preserve">  dL/dh̃[2]</t>
  </si>
  <si>
    <t>③ dL/dr_t (through h̃_t):</t>
  </si>
  <si>
    <t xml:space="preserve">  dL/dr[0]</t>
  </si>
  <si>
    <t xml:space="preserve">  dL/dr[1]</t>
  </si>
  <si>
    <t xml:space="preserve">  dL/dr[2]</t>
  </si>
  <si>
    <t>═══ Pre-activation Gradients ═══</t>
  </si>
  <si>
    <t>dL/dz_r (pre-sigmoid) = [0.0001, -0.0007, 0.0001]</t>
  </si>
  <si>
    <t>dL/dz_z (pre-sigmoid) = [-0.0103, 0.0035, 0.0013]</t>
  </si>
  <si>
    <t>dL/dz_h̃ (pre-tanh) = [-0.1228, 0.0709, -0.1054]</t>
  </si>
  <si>
    <t>═══ Reset Gate (W_r, b_r) Update ═══</t>
  </si>
  <si>
    <t>W_r[0]</t>
  </si>
  <si>
    <t>W_r[1]</t>
  </si>
  <si>
    <t>W_r[2]</t>
  </si>
  <si>
    <t>b_r</t>
  </si>
  <si>
    <t>═══ Update Gate (W_z, b_z) Update ═══</t>
  </si>
  <si>
    <t>W_z[0]</t>
  </si>
  <si>
    <t>W_z[1]</t>
  </si>
  <si>
    <t>W_z[2]</t>
  </si>
  <si>
    <t>b_z</t>
  </si>
  <si>
    <t>═══ Candidate (W_h, b_h) Update ═══</t>
  </si>
  <si>
    <t>rh[0]</t>
  </si>
  <si>
    <t>rh[1]</t>
  </si>
  <si>
    <t>rh[2]</t>
  </si>
  <si>
    <t>W_h[0]</t>
  </si>
  <si>
    <t>W_h[1]</t>
  </si>
  <si>
    <t>W_h[2]</t>
  </si>
  <si>
    <t>b_h</t>
  </si>
  <si>
    <t>═══ BPTT Note ═══</t>
  </si>
  <si>
    <t>• Above calculation shows only last timestep gradient</t>
  </si>
  <si>
    <t>• Actually calculate gradients at all timesteps then sum</t>
  </si>
  <si>
    <t>• GRU's gradient flow:</t>
  </si>
  <si>
    <t xml:space="preserve">  dL/dh_{t-1} = dL/dh_t ⊙ (1-z_t) + (r_t related terms)</t>
  </si>
  <si>
    <t>• When z_t ≈ 0: dL/dh_{t-1} ≈ dL/dh_t (gradient preserved)</t>
  </si>
  <si>
    <t>• Mitigates vanishing gradient similar to LSTM</t>
  </si>
  <si>
    <t>[Description] Reference solutions for self-checking your calculations.</t>
  </si>
  <si>
    <t>Answer Key</t>
  </si>
  <si>
    <t>t=0 'this':</t>
  </si>
  <si>
    <t xml:space="preserve">  r_t = [0.5225, 0.485, 0.5349]</t>
  </si>
  <si>
    <t xml:space="preserve">  z_t = [0.5374, 0.5025, 0.5025]</t>
  </si>
  <si>
    <t xml:space="preserve">  h̃_t = [0.03, 0.1194, -0.0798]</t>
  </si>
  <si>
    <t xml:space="preserve">  h_t = [0.0161, 0.06, -0.0401]</t>
  </si>
  <si>
    <t>t=1 'movie':</t>
  </si>
  <si>
    <t xml:space="preserve">  r_t = [0.5208, 0.5269, 0.5031]</t>
  </si>
  <si>
    <t xml:space="preserve">  z_t = [0.5172, 0.5046, 0.5654]</t>
  </si>
  <si>
    <t xml:space="preserve">  h̃_t = [0.1285, 0.0445, -0.0134]</t>
  </si>
  <si>
    <t xml:space="preserve">  h_t = [0.0742, 0.0522, -0.025]</t>
  </si>
  <si>
    <t>t=2 'is':</t>
  </si>
  <si>
    <t xml:space="preserve">  r_t = [0.4918, 0.5245, 0.5045]</t>
  </si>
  <si>
    <t xml:space="preserve">  z_t = [0.5073, 0.4939, 0.5056]</t>
  </si>
  <si>
    <t xml:space="preserve">  h̃_t = [0.0104, 0.032, 0.0532]</t>
  </si>
  <si>
    <t xml:space="preserve">  h_t = [0.0418, 0.0422, 0.0146]</t>
  </si>
  <si>
    <t>t=3 'good':</t>
  </si>
  <si>
    <t xml:space="preserve">  r_t = [0.5463, 0.5359, 0.5318]</t>
  </si>
  <si>
    <t xml:space="preserve">  z_t = [0.5562, 0.5196, 0.5674]</t>
  </si>
  <si>
    <t xml:space="preserve">  h̃_t = [0.2223, 0.1429, -0.0147]</t>
  </si>
  <si>
    <t xml:space="preserve">  h_t = [0.1422, 0.0945, -0.0021]</t>
  </si>
  <si>
    <t>h_final = [0.1422, 0.0945, -0.0021]</t>
  </si>
  <si>
    <t>y_pred = 0.5354</t>
  </si>
  <si>
    <t>Loss = 0.6247</t>
  </si>
  <si>
    <t>σ(-0.06) = 0.485</t>
  </si>
  <si>
    <t>σ(0.09) = 0.5225</t>
  </si>
  <si>
    <t>σ(0.14) = 0.5349</t>
  </si>
  <si>
    <t>σ(0.15) = 0.5374</t>
  </si>
  <si>
    <t>σ(0.01) = 0.5025</t>
  </si>
  <si>
    <t>=σ(0.0832) = 0.5208</t>
  </si>
  <si>
    <t>=σ(0.1076) = 0.5269</t>
  </si>
  <si>
    <t>=σ(0.0124) = 0.5031</t>
  </si>
  <si>
    <t>=σ(0.0688) = 0.5172</t>
  </si>
  <si>
    <t>=σ(0.0184) = 0.5046</t>
  </si>
  <si>
    <t>=σ(0.2632) = 0.5654</t>
  </si>
  <si>
    <t>=0.5208 * 0.0161 = 0.0084</t>
  </si>
  <si>
    <t>=0.5269 * 0.06 = 0.0316</t>
  </si>
  <si>
    <t>=0.5031 * -0.0401 = -0.0202</t>
  </si>
  <si>
    <t>=TANH(0.1292) = 0.1285</t>
  </si>
  <si>
    <t>=TANH(0.0445) = 0.0445</t>
  </si>
  <si>
    <t>=TANH(-0.0134) = -0.0134</t>
  </si>
  <si>
    <t>=σ(-0.0329) = 0.4918</t>
  </si>
  <si>
    <t>=σ(0.0981) = 0.5245</t>
  </si>
  <si>
    <t>=σ(0.018) = 0.5045</t>
  </si>
  <si>
    <t>=σ(0.0293) = 0.5073</t>
  </si>
  <si>
    <t>=σ(-0.0245) = 0.4939</t>
  </si>
  <si>
    <t>=σ(0.0226) = 0.5056</t>
  </si>
  <si>
    <t>=0.4918 * 0.0742 = 0.0365</t>
  </si>
  <si>
    <t>=0.5245 * 0.0522 = 0.0274</t>
  </si>
  <si>
    <t>=0.5045 * -0.025 = -0.0126</t>
  </si>
  <si>
    <t>=TANH(0.0104) = 0.0104</t>
  </si>
  <si>
    <t>=TANH(0.032) = 0.032</t>
  </si>
  <si>
    <t>=TANH(0.0533) = 0.0532</t>
  </si>
  <si>
    <t>=(1-0.5073)*0.0742 + 0.5073*0.0104</t>
  </si>
  <si>
    <t>=(1-0.4939)*0.0522 + 0.4939*0.032</t>
  </si>
  <si>
    <t>=(1-0.5056)*-0.025 + 0.5056*0.0532</t>
  </si>
  <si>
    <t>=σ(0.1856) = 0.5463</t>
  </si>
  <si>
    <t>=σ(0.1439) = 0.5359</t>
  </si>
  <si>
    <t>=σ(0.1272) = 0.5318</t>
  </si>
  <si>
    <t>=σ(0.2256) = 0.5562</t>
  </si>
  <si>
    <t>=σ(0.0786) = 0.5196</t>
  </si>
  <si>
    <t>=σ(0.2711) = 0.5674</t>
  </si>
  <si>
    <t>=0.5463 * 0.0418 = 0.0229</t>
  </si>
  <si>
    <t>=0.5359 * 0.0422 = 0.0226</t>
  </si>
  <si>
    <t>=0.5318 * 0.0146 = 0.0077</t>
  </si>
  <si>
    <t>=TANH(0.226) = 0.2223</t>
  </si>
  <si>
    <t>=TANH(0.1439) = 0.1429</t>
  </si>
  <si>
    <t>=TANH(-0.0147) = -0.0147</t>
  </si>
  <si>
    <t>=(1-0.5562)*0.0418 + 0.5562*0.2223</t>
  </si>
  <si>
    <t>=(1-0.5196)*0.0422 + 0.5196*0.1429</t>
  </si>
  <si>
    <t>=(1-0.5674)*0.0146 + 0.5674*-0.0147</t>
  </si>
  <si>
    <t>=0.5 * -0.4646 = -0.2323</t>
  </si>
  <si>
    <t>=-0.3 * -0.4646 = 0.1394</t>
  </si>
  <si>
    <t>=0.4 * -0.4646 = -0.1858</t>
  </si>
  <si>
    <t>=-0.2323 * (-0.0418 + 0.2223) = -0.0419</t>
  </si>
  <si>
    <t>=0.1394 * (-0.0422 + 0.1429) = 0.014</t>
  </si>
  <si>
    <t>=-0.1858 * (-0.0146 + -0.0147) = 0.0054</t>
  </si>
  <si>
    <t>=-0.2323 * 0.5562 = -0.1292</t>
  </si>
  <si>
    <t>=0.1394 * 0.5196 = 0.0724</t>
  </si>
  <si>
    <t>=-0.1858 * 0.5674 = -0.1054</t>
  </si>
  <si>
    <t>=0.5225 * 0 = 0</t>
  </si>
  <si>
    <t>=0.485 * 0 = 0</t>
  </si>
  <si>
    <t>=0.5349 * 0 = 0</t>
  </si>
  <si>
    <t>=TANH(0.03) = 0.03</t>
  </si>
  <si>
    <t>=TANH(0.12) = 0.1194</t>
  </si>
  <si>
    <t>=TANH(-0.08) = -0.0798</t>
  </si>
  <si>
    <t>=(1-0.5374)*0 + 0.5374*0.03</t>
  </si>
  <si>
    <t>=(1-0.5025)*0 + 0.5025*0.1194</t>
  </si>
  <si>
    <t>=(1-0.5025)*0 + 0.5025*-0.0798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</si>
</sst>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0"/>
      <color rgb="FF50505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AEEF3"/>
        <bgColor rgb="FFDAEEF3"/>
      </patternFill>
    </fill>
    <fill>
      <patternFill patternType="solid">
        <fgColor rgb="FFFFB3B3"/>
        <bgColor rgb="FFFFB3B3"/>
      </patternFill>
    </fill>
    <fill>
      <patternFill patternType="solid">
        <fgColor rgb="FFFFFACD"/>
        <bgColor rgb="FFFFFACD"/>
      </patternFill>
    </fill>
    <fill>
      <patternFill patternType="solid">
        <fgColor rgb="FFB3FFB3"/>
        <bgColor rgb="FFB3FFB3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4DFEC"/>
        <bgColor rgb="FFE4DFEC"/>
      </patternFill>
    </fill>
    <fill>
      <patternFill patternType="solid">
        <fgColor rgb="FFD8E4BC"/>
        <bgColor rgb="FFD8E4BC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0F8FF"/>
        <bgColor rgb="FFF0F8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0" xfId="0" applyFill="1"/>
    <xf numFmtId="0" fontId="1" fillId="9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4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0" borderId="0" xfId="0" applyFill="1"/>
    <xf numFmtId="0" fontId="0" fillId="12" borderId="1" xfId="0" applyFill="1" applyBorder="1" applyAlignment="1">
      <alignment horizontal="center" vertical="center"/>
    </xf>
    <xf numFmtId="0" fontId="0" fillId="0" borderId="0" xfId="0" quotePrefix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14" borderId="0" xfId="0" applyFont="1" applyFill="1" applyAlignment="1">
      <alignment wrapText="1"/>
    </xf>
    <xf numFmtId="0" fontId="0" fillId="0" borderId="0" xfId="0"/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9"/>
  <sheetViews>
    <sheetView workbookViewId="0">
      <selection activeCell="M30" sqref="M30"/>
    </sheetView>
  </sheetViews>
  <sheetFormatPr baseColWidth="10" defaultColWidth="8.83203125" defaultRowHeight="15" x14ac:dyDescent="0.2"/>
  <cols>
    <col min="1" max="1" width="7" customWidth="1"/>
    <col min="2" max="2" width="30.83203125" customWidth="1"/>
    <col min="3" max="12" width="7" customWidth="1"/>
    <col min="13" max="13" width="27.6640625" customWidth="1"/>
    <col min="14" max="24" width="7" customWidth="1"/>
  </cols>
  <sheetData>
    <row r="1" spans="1:31" x14ac:dyDescent="0.2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</row>
    <row r="2" spans="1:31" x14ac:dyDescent="0.2">
      <c r="B2" s="31" t="s">
        <v>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3"/>
    </row>
    <row r="4" spans="1:31" x14ac:dyDescent="0.2">
      <c r="B4" s="37" t="s">
        <v>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3"/>
    </row>
    <row r="6" spans="1:31" x14ac:dyDescent="0.2">
      <c r="B6" t="s">
        <v>3</v>
      </c>
    </row>
    <row r="7" spans="1:31" x14ac:dyDescent="0.2">
      <c r="B7" t="s">
        <v>4</v>
      </c>
    </row>
    <row r="8" spans="1:31" x14ac:dyDescent="0.2">
      <c r="B8" t="s">
        <v>5</v>
      </c>
    </row>
    <row r="9" spans="1:31" x14ac:dyDescent="0.2">
      <c r="B9" t="s">
        <v>6</v>
      </c>
    </row>
    <row r="12" spans="1:31" x14ac:dyDescent="0.2">
      <c r="B12" s="31" t="s">
        <v>7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3"/>
    </row>
    <row r="14" spans="1:31" x14ac:dyDescent="0.2">
      <c r="B14" s="3" t="s">
        <v>8</v>
      </c>
      <c r="F14" t="s">
        <v>9</v>
      </c>
      <c r="M14" s="4" t="s">
        <v>10</v>
      </c>
    </row>
    <row r="15" spans="1:31" x14ac:dyDescent="0.2">
      <c r="B15" s="5" t="s">
        <v>11</v>
      </c>
      <c r="F15" t="s">
        <v>12</v>
      </c>
      <c r="M15" s="4" t="s">
        <v>13</v>
      </c>
    </row>
    <row r="16" spans="1:31" x14ac:dyDescent="0.2">
      <c r="B16" s="6" t="s">
        <v>14</v>
      </c>
      <c r="F16" t="s">
        <v>15</v>
      </c>
      <c r="M16" s="4" t="s">
        <v>16</v>
      </c>
    </row>
    <row r="19" spans="2:20" x14ac:dyDescent="0.2">
      <c r="B19" s="31" t="s">
        <v>17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3"/>
    </row>
    <row r="21" spans="2:20" x14ac:dyDescent="0.2">
      <c r="B21" s="36" t="s">
        <v>18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3"/>
    </row>
    <row r="23" spans="2:20" x14ac:dyDescent="0.2">
      <c r="B23" t="s">
        <v>19</v>
      </c>
    </row>
    <row r="24" spans="2:20" x14ac:dyDescent="0.2">
      <c r="B24" t="s">
        <v>20</v>
      </c>
    </row>
    <row r="25" spans="2:20" x14ac:dyDescent="0.2">
      <c r="B25" t="s">
        <v>21</v>
      </c>
    </row>
    <row r="26" spans="2:20" x14ac:dyDescent="0.2">
      <c r="B26" t="s">
        <v>22</v>
      </c>
    </row>
    <row r="29" spans="2:20" x14ac:dyDescent="0.2">
      <c r="B29" s="31" t="s">
        <v>23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/>
    </row>
    <row r="31" spans="2:20" x14ac:dyDescent="0.2">
      <c r="D31" s="8" t="s">
        <v>24</v>
      </c>
      <c r="E31" s="9" t="s">
        <v>25</v>
      </c>
      <c r="G31" s="10" t="s">
        <v>26</v>
      </c>
      <c r="I31" s="9" t="s">
        <v>27</v>
      </c>
      <c r="K31" s="9" t="s">
        <v>28</v>
      </c>
      <c r="L31" s="9" t="s">
        <v>29</v>
      </c>
      <c r="M31" s="8" t="s">
        <v>30</v>
      </c>
    </row>
    <row r="32" spans="2:20" x14ac:dyDescent="0.2">
      <c r="D32" s="9" t="s">
        <v>31</v>
      </c>
      <c r="K32" s="9" t="s">
        <v>32</v>
      </c>
    </row>
    <row r="33" spans="2:10" x14ac:dyDescent="0.2">
      <c r="D33" s="11" t="s">
        <v>33</v>
      </c>
      <c r="E33" s="9" t="s">
        <v>29</v>
      </c>
      <c r="G33" s="12" t="s">
        <v>34</v>
      </c>
      <c r="H33" s="9" t="s">
        <v>29</v>
      </c>
      <c r="I33" s="10" t="s">
        <v>35</v>
      </c>
      <c r="J33" s="9" t="s">
        <v>36</v>
      </c>
    </row>
    <row r="35" spans="2:10" x14ac:dyDescent="0.2">
      <c r="D35" s="13" t="s">
        <v>37</v>
      </c>
      <c r="E35" s="9" t="s">
        <v>29</v>
      </c>
      <c r="F35" s="14" t="s">
        <v>38</v>
      </c>
      <c r="G35" s="9" t="s">
        <v>29</v>
      </c>
      <c r="H35" s="15" t="s">
        <v>39</v>
      </c>
    </row>
    <row r="38" spans="2:10" x14ac:dyDescent="0.2">
      <c r="B38" s="2" t="s">
        <v>40</v>
      </c>
    </row>
    <row r="39" spans="2:10" x14ac:dyDescent="0.2">
      <c r="B39" s="16" t="s">
        <v>41</v>
      </c>
    </row>
  </sheetData>
  <mergeCells count="7">
    <mergeCell ref="B29:T29"/>
    <mergeCell ref="A1:J1"/>
    <mergeCell ref="B19:T19"/>
    <mergeCell ref="B21:N21"/>
    <mergeCell ref="B2:AE2"/>
    <mergeCell ref="B4:T4"/>
    <mergeCell ref="B12:T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44"/>
  <sheetViews>
    <sheetView workbookViewId="0">
      <selection sqref="A1:J1"/>
    </sheetView>
  </sheetViews>
  <sheetFormatPr baseColWidth="10" defaultColWidth="8.83203125" defaultRowHeight="15" x14ac:dyDescent="0.2"/>
  <cols>
    <col min="1" max="14" width="8" customWidth="1"/>
  </cols>
  <sheetData>
    <row r="1" spans="1:34" x14ac:dyDescent="0.2">
      <c r="A1" s="34" t="s">
        <v>42</v>
      </c>
      <c r="B1" s="35"/>
      <c r="C1" s="35"/>
      <c r="D1" s="35"/>
      <c r="E1" s="35"/>
      <c r="F1" s="35"/>
      <c r="G1" s="35"/>
      <c r="H1" s="35"/>
      <c r="I1" s="35"/>
      <c r="J1" s="35"/>
    </row>
    <row r="2" spans="1:34" x14ac:dyDescent="0.2">
      <c r="B2" s="31" t="s">
        <v>43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3"/>
    </row>
    <row r="4" spans="1:34" x14ac:dyDescent="0.2">
      <c r="B4" s="42" t="s">
        <v>44</v>
      </c>
      <c r="C4" s="32"/>
      <c r="D4" s="32"/>
      <c r="E4" s="32"/>
      <c r="F4" s="32"/>
      <c r="G4" s="32"/>
      <c r="H4" s="32"/>
      <c r="I4" s="32"/>
      <c r="J4" s="33"/>
    </row>
    <row r="6" spans="1:34" x14ac:dyDescent="0.2">
      <c r="B6" s="18" t="s">
        <v>45</v>
      </c>
      <c r="D6" s="13">
        <v>0.2</v>
      </c>
      <c r="E6" s="13">
        <v>0.1</v>
      </c>
      <c r="F6" s="13">
        <v>-0.1</v>
      </c>
      <c r="G6" s="13">
        <v>0.3</v>
      </c>
    </row>
    <row r="7" spans="1:34" x14ac:dyDescent="0.2">
      <c r="B7" s="18" t="s">
        <v>46</v>
      </c>
      <c r="D7" s="13">
        <v>0.5</v>
      </c>
      <c r="E7" s="13">
        <v>0.3</v>
      </c>
      <c r="F7" s="13">
        <v>0.2</v>
      </c>
      <c r="G7" s="13">
        <v>-0.1</v>
      </c>
    </row>
    <row r="8" spans="1:34" x14ac:dyDescent="0.2">
      <c r="B8" s="18" t="s">
        <v>47</v>
      </c>
      <c r="D8" s="13">
        <v>-0.1</v>
      </c>
      <c r="E8" s="13">
        <v>0.2</v>
      </c>
      <c r="F8" s="13">
        <v>0.1</v>
      </c>
      <c r="G8" s="13">
        <v>0.1</v>
      </c>
    </row>
    <row r="9" spans="1:34" x14ac:dyDescent="0.2">
      <c r="B9" s="18" t="s">
        <v>48</v>
      </c>
      <c r="D9" s="13">
        <v>0.6</v>
      </c>
      <c r="E9" s="13">
        <v>0.5</v>
      </c>
      <c r="F9" s="13">
        <v>0.4</v>
      </c>
      <c r="G9" s="13">
        <v>0.3</v>
      </c>
    </row>
    <row r="12" spans="1:34" x14ac:dyDescent="0.2">
      <c r="B12" s="41" t="s">
        <v>49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3"/>
    </row>
    <row r="14" spans="1:34" x14ac:dyDescent="0.2">
      <c r="B14" s="3" t="s">
        <v>50</v>
      </c>
    </row>
    <row r="15" spans="1:34" x14ac:dyDescent="0.2">
      <c r="B15" s="14" t="s">
        <v>51</v>
      </c>
      <c r="C15" s="14" t="s">
        <v>52</v>
      </c>
      <c r="D15" s="14" t="s">
        <v>53</v>
      </c>
      <c r="E15" s="14" t="s">
        <v>54</v>
      </c>
      <c r="F15" s="14" t="s">
        <v>55</v>
      </c>
      <c r="G15" s="14" t="s">
        <v>56</v>
      </c>
      <c r="H15" s="14" t="s">
        <v>57</v>
      </c>
    </row>
    <row r="16" spans="1:34" x14ac:dyDescent="0.2">
      <c r="B16" s="11">
        <v>0.2</v>
      </c>
      <c r="C16" s="11">
        <v>-0.1</v>
      </c>
      <c r="D16" s="11">
        <v>0.1</v>
      </c>
      <c r="E16" s="11">
        <v>0.3</v>
      </c>
      <c r="F16" s="11">
        <v>-0.2</v>
      </c>
      <c r="G16" s="11">
        <v>0.1</v>
      </c>
      <c r="H16" s="11">
        <v>0.2</v>
      </c>
    </row>
    <row r="17" spans="2:14" x14ac:dyDescent="0.2">
      <c r="B17" s="11">
        <v>0.1</v>
      </c>
      <c r="C17" s="11">
        <v>0.3</v>
      </c>
      <c r="D17" s="11">
        <v>-0.2</v>
      </c>
      <c r="E17" s="11">
        <v>-0.1</v>
      </c>
      <c r="F17" s="11">
        <v>0.2</v>
      </c>
      <c r="G17" s="11">
        <v>0.3</v>
      </c>
      <c r="H17" s="11">
        <v>-0.1</v>
      </c>
    </row>
    <row r="18" spans="2:14" x14ac:dyDescent="0.2">
      <c r="B18" s="11">
        <v>-0.1</v>
      </c>
      <c r="C18" s="11">
        <v>0.2</v>
      </c>
      <c r="D18" s="11">
        <v>0.2</v>
      </c>
      <c r="E18" s="11">
        <v>0.1</v>
      </c>
      <c r="F18" s="11">
        <v>0.1</v>
      </c>
      <c r="G18" s="11">
        <v>-0.2</v>
      </c>
      <c r="H18" s="11">
        <v>0.3</v>
      </c>
    </row>
    <row r="20" spans="2:14" x14ac:dyDescent="0.2">
      <c r="B20" s="3" t="s">
        <v>58</v>
      </c>
      <c r="D20" s="11">
        <v>0</v>
      </c>
      <c r="E20" s="11">
        <v>0</v>
      </c>
      <c r="F20" s="11">
        <v>0</v>
      </c>
    </row>
    <row r="22" spans="2:14" x14ac:dyDescent="0.2">
      <c r="B22" s="38" t="s">
        <v>59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3"/>
    </row>
    <row r="24" spans="2:14" x14ac:dyDescent="0.2">
      <c r="B24" s="5" t="s">
        <v>50</v>
      </c>
    </row>
    <row r="25" spans="2:14" x14ac:dyDescent="0.2">
      <c r="B25" s="14" t="s">
        <v>51</v>
      </c>
      <c r="C25" s="14" t="s">
        <v>52</v>
      </c>
      <c r="D25" s="14" t="s">
        <v>53</v>
      </c>
      <c r="E25" s="14" t="s">
        <v>54</v>
      </c>
      <c r="F25" s="14" t="s">
        <v>55</v>
      </c>
      <c r="G25" s="14" t="s">
        <v>56</v>
      </c>
      <c r="H25" s="14" t="s">
        <v>57</v>
      </c>
    </row>
    <row r="26" spans="2:14" x14ac:dyDescent="0.2">
      <c r="B26" s="10">
        <v>0.3</v>
      </c>
      <c r="C26" s="10">
        <v>-0.2</v>
      </c>
      <c r="D26" s="10">
        <v>0.1</v>
      </c>
      <c r="E26" s="10">
        <v>0.2</v>
      </c>
      <c r="F26" s="10">
        <v>0.1</v>
      </c>
      <c r="G26" s="10">
        <v>-0.1</v>
      </c>
      <c r="H26" s="10">
        <v>0.3</v>
      </c>
    </row>
    <row r="27" spans="2:14" x14ac:dyDescent="0.2">
      <c r="B27" s="10">
        <v>-0.1</v>
      </c>
      <c r="C27" s="10">
        <v>0.2</v>
      </c>
      <c r="D27" s="10">
        <v>0.3</v>
      </c>
      <c r="E27" s="10">
        <v>0.1</v>
      </c>
      <c r="F27" s="10">
        <v>-0.2</v>
      </c>
      <c r="G27" s="10">
        <v>0.2</v>
      </c>
      <c r="H27" s="10">
        <v>0.1</v>
      </c>
    </row>
    <row r="28" spans="2:14" x14ac:dyDescent="0.2">
      <c r="B28" s="10">
        <v>0.2</v>
      </c>
      <c r="C28" s="10">
        <v>0.1</v>
      </c>
      <c r="D28" s="10">
        <v>-0.1</v>
      </c>
      <c r="E28" s="10">
        <v>0.3</v>
      </c>
      <c r="F28" s="10">
        <v>0.2</v>
      </c>
      <c r="G28" s="10">
        <v>0.1</v>
      </c>
      <c r="H28" s="10">
        <v>-0.2</v>
      </c>
    </row>
    <row r="30" spans="2:14" x14ac:dyDescent="0.2">
      <c r="B30" s="5" t="s">
        <v>58</v>
      </c>
      <c r="D30" s="10">
        <v>0</v>
      </c>
      <c r="E30" s="10">
        <v>0</v>
      </c>
      <c r="F30" s="10">
        <v>0</v>
      </c>
    </row>
    <row r="32" spans="2:14" x14ac:dyDescent="0.2">
      <c r="B32" s="40" t="s">
        <v>60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3"/>
    </row>
    <row r="34" spans="2:10" x14ac:dyDescent="0.2">
      <c r="B34" s="6" t="s">
        <v>50</v>
      </c>
    </row>
    <row r="35" spans="2:10" x14ac:dyDescent="0.2">
      <c r="B35" s="14" t="s">
        <v>51</v>
      </c>
      <c r="C35" s="14" t="s">
        <v>52</v>
      </c>
      <c r="D35" s="14" t="s">
        <v>53</v>
      </c>
      <c r="E35" s="14" t="s">
        <v>54</v>
      </c>
      <c r="F35" s="14" t="s">
        <v>55</v>
      </c>
      <c r="G35" s="14" t="s">
        <v>56</v>
      </c>
      <c r="H35" s="14" t="s">
        <v>57</v>
      </c>
    </row>
    <row r="36" spans="2:10" x14ac:dyDescent="0.2">
      <c r="B36" s="12">
        <v>0.1</v>
      </c>
      <c r="C36" s="12">
        <v>0.2</v>
      </c>
      <c r="D36" s="12">
        <v>-0.1</v>
      </c>
      <c r="E36" s="12">
        <v>0.2</v>
      </c>
      <c r="F36" s="12">
        <v>-0.1</v>
      </c>
      <c r="G36" s="12">
        <v>0.3</v>
      </c>
      <c r="H36" s="12">
        <v>0.1</v>
      </c>
    </row>
    <row r="37" spans="2:10" x14ac:dyDescent="0.2">
      <c r="B37" s="12">
        <v>0.2</v>
      </c>
      <c r="C37" s="12">
        <v>-0.1</v>
      </c>
      <c r="D37" s="12">
        <v>0.2</v>
      </c>
      <c r="E37" s="12">
        <v>0.1</v>
      </c>
      <c r="F37" s="12">
        <v>0.2</v>
      </c>
      <c r="G37" s="12">
        <v>-0.2</v>
      </c>
      <c r="H37" s="12">
        <v>0.2</v>
      </c>
    </row>
    <row r="38" spans="2:10" x14ac:dyDescent="0.2">
      <c r="B38" s="12">
        <v>-0.1</v>
      </c>
      <c r="C38" s="12">
        <v>0.3</v>
      </c>
      <c r="D38" s="12">
        <v>0.1</v>
      </c>
      <c r="E38" s="12">
        <v>-0.2</v>
      </c>
      <c r="F38" s="12">
        <v>0.1</v>
      </c>
      <c r="G38" s="12">
        <v>0.2</v>
      </c>
      <c r="H38" s="12">
        <v>-0.1</v>
      </c>
    </row>
    <row r="40" spans="2:10" x14ac:dyDescent="0.2">
      <c r="B40" s="6" t="s">
        <v>58</v>
      </c>
      <c r="D40" s="12">
        <v>0</v>
      </c>
      <c r="E40" s="12">
        <v>0</v>
      </c>
      <c r="F40" s="12">
        <v>0</v>
      </c>
    </row>
    <row r="42" spans="2:10" x14ac:dyDescent="0.2">
      <c r="B42" s="39" t="s">
        <v>61</v>
      </c>
      <c r="C42" s="32"/>
      <c r="D42" s="32"/>
      <c r="E42" s="32"/>
      <c r="F42" s="32"/>
      <c r="G42" s="32"/>
      <c r="H42" s="32"/>
      <c r="I42" s="32"/>
      <c r="J42" s="33"/>
    </row>
    <row r="44" spans="2:10" x14ac:dyDescent="0.2">
      <c r="B44" s="20" t="s">
        <v>62</v>
      </c>
      <c r="D44" s="20">
        <v>0.5</v>
      </c>
      <c r="E44" s="20">
        <v>-0.3</v>
      </c>
      <c r="F44" s="20">
        <v>0.4</v>
      </c>
      <c r="H44" s="20" t="s">
        <v>63</v>
      </c>
      <c r="I44" s="20">
        <v>0.1</v>
      </c>
    </row>
  </sheetData>
  <mergeCells count="7">
    <mergeCell ref="B22:N22"/>
    <mergeCell ref="A1:J1"/>
    <mergeCell ref="B42:J42"/>
    <mergeCell ref="B32:N32"/>
    <mergeCell ref="B12:N12"/>
    <mergeCell ref="B2:AH2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66"/>
  <sheetViews>
    <sheetView topLeftCell="A147" zoomScale="174" workbookViewId="0">
      <selection activeCell="B161" sqref="B161"/>
    </sheetView>
  </sheetViews>
  <sheetFormatPr baseColWidth="10" defaultColWidth="8.83203125" defaultRowHeight="15" x14ac:dyDescent="0.2"/>
  <cols>
    <col min="1" max="1" width="7" customWidth="1"/>
    <col min="2" max="2" width="41.33203125" customWidth="1"/>
    <col min="3" max="4" width="7" customWidth="1"/>
    <col min="5" max="5" width="16.5" customWidth="1"/>
    <col min="6" max="24" width="7" customWidth="1"/>
  </cols>
  <sheetData>
    <row r="1" spans="1:34" x14ac:dyDescent="0.2">
      <c r="A1" s="34" t="s">
        <v>64</v>
      </c>
      <c r="B1" s="35"/>
      <c r="C1" s="35"/>
      <c r="D1" s="35"/>
      <c r="E1" s="35"/>
      <c r="F1" s="35"/>
      <c r="G1" s="35"/>
      <c r="H1" s="35"/>
      <c r="I1" s="35"/>
      <c r="J1" s="35"/>
    </row>
    <row r="2" spans="1:34" x14ac:dyDescent="0.2">
      <c r="B2" s="43" t="s">
        <v>65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3"/>
    </row>
    <row r="4" spans="1:34" x14ac:dyDescent="0.2">
      <c r="B4" s="31" t="s">
        <v>66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3"/>
    </row>
    <row r="6" spans="1:34" x14ac:dyDescent="0.2">
      <c r="B6" s="3" t="s">
        <v>67</v>
      </c>
      <c r="E6" s="21" t="s">
        <v>68</v>
      </c>
    </row>
    <row r="7" spans="1:34" x14ac:dyDescent="0.2">
      <c r="B7" s="5" t="s">
        <v>69</v>
      </c>
      <c r="E7" s="22" t="s">
        <v>70</v>
      </c>
    </row>
    <row r="8" spans="1:34" x14ac:dyDescent="0.2">
      <c r="B8" s="6" t="s">
        <v>71</v>
      </c>
      <c r="E8" s="23" t="s">
        <v>72</v>
      </c>
    </row>
    <row r="9" spans="1:34" x14ac:dyDescent="0.2">
      <c r="B9" s="7" t="s">
        <v>73</v>
      </c>
      <c r="E9" s="24" t="s">
        <v>74</v>
      </c>
    </row>
    <row r="12" spans="1:34" x14ac:dyDescent="0.2">
      <c r="B12" s="37" t="s">
        <v>75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3"/>
    </row>
    <row r="14" spans="1:34" x14ac:dyDescent="0.2">
      <c r="B14" s="17" t="s">
        <v>76</v>
      </c>
      <c r="D14" s="13">
        <v>0.2</v>
      </c>
      <c r="E14" s="13">
        <v>0.1</v>
      </c>
      <c r="F14" s="13">
        <v>-0.1</v>
      </c>
      <c r="G14" s="13">
        <v>0.3</v>
      </c>
    </row>
    <row r="15" spans="1:34" x14ac:dyDescent="0.2">
      <c r="B15" s="7" t="s">
        <v>77</v>
      </c>
      <c r="D15" s="8">
        <v>0</v>
      </c>
      <c r="E15" s="8">
        <v>0</v>
      </c>
      <c r="F15" s="8">
        <v>0</v>
      </c>
    </row>
    <row r="17" spans="2:11" x14ac:dyDescent="0.2">
      <c r="B17" s="14" t="s">
        <v>78</v>
      </c>
      <c r="E17" s="14">
        <v>0</v>
      </c>
      <c r="F17" s="14">
        <v>0</v>
      </c>
      <c r="G17" s="14">
        <v>0</v>
      </c>
      <c r="H17" s="14">
        <v>0.2</v>
      </c>
      <c r="I17" s="14">
        <v>0.1</v>
      </c>
      <c r="J17" s="14">
        <v>-0.1</v>
      </c>
      <c r="K17" s="14">
        <v>0.3</v>
      </c>
    </row>
    <row r="19" spans="2:11" x14ac:dyDescent="0.2">
      <c r="B19" s="3" t="s">
        <v>79</v>
      </c>
    </row>
    <row r="20" spans="2:11" x14ac:dyDescent="0.2">
      <c r="B20" s="11" t="s">
        <v>80</v>
      </c>
      <c r="D20" t="s">
        <v>277</v>
      </c>
    </row>
    <row r="21" spans="2:11" x14ac:dyDescent="0.2">
      <c r="B21" s="11" t="s">
        <v>81</v>
      </c>
      <c r="D21" t="s">
        <v>276</v>
      </c>
    </row>
    <row r="22" spans="2:11" x14ac:dyDescent="0.2">
      <c r="B22" s="11" t="s">
        <v>82</v>
      </c>
      <c r="D22" t="s">
        <v>278</v>
      </c>
    </row>
    <row r="24" spans="2:11" x14ac:dyDescent="0.2">
      <c r="B24" s="5" t="s">
        <v>83</v>
      </c>
    </row>
    <row r="25" spans="2:11" x14ac:dyDescent="0.2">
      <c r="B25" s="10" t="s">
        <v>84</v>
      </c>
      <c r="D25" t="s">
        <v>279</v>
      </c>
    </row>
    <row r="26" spans="2:11" x14ac:dyDescent="0.2">
      <c r="B26" s="10" t="s">
        <v>85</v>
      </c>
      <c r="D26" t="s">
        <v>280</v>
      </c>
    </row>
    <row r="27" spans="2:11" x14ac:dyDescent="0.2">
      <c r="B27" s="10" t="s">
        <v>86</v>
      </c>
      <c r="D27" t="s">
        <v>280</v>
      </c>
    </row>
    <row r="29" spans="2:11" x14ac:dyDescent="0.2">
      <c r="B29" s="3" t="s">
        <v>87</v>
      </c>
    </row>
    <row r="30" spans="2:11" x14ac:dyDescent="0.2">
      <c r="B30" s="11" t="s">
        <v>88</v>
      </c>
      <c r="D30" s="30" t="s">
        <v>332</v>
      </c>
    </row>
    <row r="31" spans="2:11" x14ac:dyDescent="0.2">
      <c r="B31" s="11" t="s">
        <v>89</v>
      </c>
      <c r="D31" s="30" t="s">
        <v>333</v>
      </c>
    </row>
    <row r="32" spans="2:11" x14ac:dyDescent="0.2">
      <c r="B32" s="11" t="s">
        <v>90</v>
      </c>
      <c r="D32" s="30" t="s">
        <v>334</v>
      </c>
    </row>
    <row r="34" spans="2:20" x14ac:dyDescent="0.2">
      <c r="B34" s="6" t="s">
        <v>91</v>
      </c>
    </row>
    <row r="35" spans="2:20" x14ac:dyDescent="0.2">
      <c r="B35" s="12" t="s">
        <v>92</v>
      </c>
      <c r="D35" s="30" t="s">
        <v>335</v>
      </c>
    </row>
    <row r="36" spans="2:20" x14ac:dyDescent="0.2">
      <c r="B36" s="12" t="s">
        <v>93</v>
      </c>
      <c r="D36" s="30" t="s">
        <v>336</v>
      </c>
    </row>
    <row r="37" spans="2:20" x14ac:dyDescent="0.2">
      <c r="B37" s="12" t="s">
        <v>94</v>
      </c>
      <c r="D37" s="30" t="s">
        <v>337</v>
      </c>
    </row>
    <row r="39" spans="2:20" x14ac:dyDescent="0.2">
      <c r="B39" s="7" t="s">
        <v>95</v>
      </c>
    </row>
    <row r="40" spans="2:20" x14ac:dyDescent="0.2">
      <c r="B40" s="8" t="s">
        <v>96</v>
      </c>
      <c r="D40" s="30" t="s">
        <v>338</v>
      </c>
      <c r="R40" s="8">
        <f>0.0161</f>
        <v>1.61E-2</v>
      </c>
    </row>
    <row r="41" spans="2:20" x14ac:dyDescent="0.2">
      <c r="B41" s="8" t="s">
        <v>97</v>
      </c>
      <c r="D41" s="30" t="s">
        <v>339</v>
      </c>
      <c r="R41" s="8">
        <f>0.06</f>
        <v>0.06</v>
      </c>
    </row>
    <row r="42" spans="2:20" x14ac:dyDescent="0.2">
      <c r="B42" s="8" t="s">
        <v>98</v>
      </c>
      <c r="D42" s="30" t="s">
        <v>340</v>
      </c>
      <c r="R42" s="8">
        <f>-0.0401</f>
        <v>-4.0099999999999997E-2</v>
      </c>
    </row>
    <row r="45" spans="2:20" x14ac:dyDescent="0.2">
      <c r="B45" s="7" t="s">
        <v>99</v>
      </c>
      <c r="E45" s="8">
        <v>1.61E-2</v>
      </c>
      <c r="F45" s="8">
        <v>0.06</v>
      </c>
      <c r="G45" s="8">
        <v>-4.0099999999999997E-2</v>
      </c>
    </row>
    <row r="48" spans="2:20" x14ac:dyDescent="0.2">
      <c r="B48" s="37" t="s">
        <v>100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3"/>
    </row>
    <row r="50" spans="2:11" x14ac:dyDescent="0.2">
      <c r="B50" s="17" t="s">
        <v>76</v>
      </c>
      <c r="D50" s="13">
        <v>0.5</v>
      </c>
      <c r="E50" s="13">
        <v>0.3</v>
      </c>
      <c r="F50" s="13">
        <v>0.2</v>
      </c>
      <c r="G50" s="13">
        <v>-0.1</v>
      </c>
    </row>
    <row r="51" spans="2:11" x14ac:dyDescent="0.2">
      <c r="B51" s="7" t="s">
        <v>77</v>
      </c>
      <c r="D51" s="8">
        <v>1.61E-2</v>
      </c>
      <c r="E51" s="8">
        <v>0.06</v>
      </c>
      <c r="F51" s="8">
        <v>-4.0099999999999997E-2</v>
      </c>
    </row>
    <row r="53" spans="2:11" x14ac:dyDescent="0.2">
      <c r="B53" s="14" t="s">
        <v>78</v>
      </c>
      <c r="E53" s="14">
        <v>1.61E-2</v>
      </c>
      <c r="F53" s="14">
        <v>0.06</v>
      </c>
      <c r="G53" s="14">
        <v>-4.0099999999999997E-2</v>
      </c>
      <c r="H53" s="14">
        <v>0.5</v>
      </c>
      <c r="I53" s="14">
        <v>0.3</v>
      </c>
      <c r="J53" s="14">
        <v>0.2</v>
      </c>
      <c r="K53" s="14">
        <v>-0.1</v>
      </c>
    </row>
    <row r="55" spans="2:11" x14ac:dyDescent="0.2">
      <c r="B55" s="3" t="s">
        <v>79</v>
      </c>
    </row>
    <row r="56" spans="2:11" x14ac:dyDescent="0.2">
      <c r="B56" s="11" t="s">
        <v>80</v>
      </c>
      <c r="D56" s="30" t="s">
        <v>281</v>
      </c>
    </row>
    <row r="57" spans="2:11" x14ac:dyDescent="0.2">
      <c r="B57" s="11" t="s">
        <v>81</v>
      </c>
      <c r="D57" s="30" t="s">
        <v>282</v>
      </c>
    </row>
    <row r="58" spans="2:11" x14ac:dyDescent="0.2">
      <c r="B58" s="11" t="s">
        <v>82</v>
      </c>
      <c r="D58" s="30" t="s">
        <v>283</v>
      </c>
    </row>
    <row r="60" spans="2:11" x14ac:dyDescent="0.2">
      <c r="B60" s="5" t="s">
        <v>83</v>
      </c>
    </row>
    <row r="61" spans="2:11" x14ac:dyDescent="0.2">
      <c r="B61" s="10" t="s">
        <v>84</v>
      </c>
      <c r="D61" s="30" t="s">
        <v>284</v>
      </c>
    </row>
    <row r="62" spans="2:11" x14ac:dyDescent="0.2">
      <c r="B62" s="10" t="s">
        <v>85</v>
      </c>
      <c r="D62" s="30" t="s">
        <v>285</v>
      </c>
    </row>
    <row r="63" spans="2:11" x14ac:dyDescent="0.2">
      <c r="B63" s="10" t="s">
        <v>86</v>
      </c>
      <c r="D63" s="30" t="s">
        <v>286</v>
      </c>
    </row>
    <row r="65" spans="2:18" x14ac:dyDescent="0.2">
      <c r="B65" s="3" t="s">
        <v>87</v>
      </c>
    </row>
    <row r="66" spans="2:18" x14ac:dyDescent="0.2">
      <c r="B66" s="11" t="s">
        <v>88</v>
      </c>
      <c r="D66" s="30" t="s">
        <v>287</v>
      </c>
    </row>
    <row r="67" spans="2:18" x14ac:dyDescent="0.2">
      <c r="B67" s="11" t="s">
        <v>89</v>
      </c>
      <c r="D67" s="30" t="s">
        <v>288</v>
      </c>
    </row>
    <row r="68" spans="2:18" x14ac:dyDescent="0.2">
      <c r="B68" s="11" t="s">
        <v>90</v>
      </c>
      <c r="D68" s="30" t="s">
        <v>289</v>
      </c>
    </row>
    <row r="70" spans="2:18" x14ac:dyDescent="0.2">
      <c r="B70" s="6" t="s">
        <v>91</v>
      </c>
    </row>
    <row r="71" spans="2:18" x14ac:dyDescent="0.2">
      <c r="B71" s="12" t="s">
        <v>92</v>
      </c>
      <c r="D71" s="30" t="s">
        <v>290</v>
      </c>
    </row>
    <row r="72" spans="2:18" x14ac:dyDescent="0.2">
      <c r="B72" s="12" t="s">
        <v>93</v>
      </c>
      <c r="D72" s="30" t="s">
        <v>291</v>
      </c>
    </row>
    <row r="73" spans="2:18" x14ac:dyDescent="0.2">
      <c r="B73" s="12" t="s">
        <v>94</v>
      </c>
      <c r="D73" s="30" t="s">
        <v>292</v>
      </c>
    </row>
    <row r="75" spans="2:18" x14ac:dyDescent="0.2">
      <c r="B75" s="7" t="s">
        <v>95</v>
      </c>
    </row>
    <row r="76" spans="2:18" x14ac:dyDescent="0.2">
      <c r="B76" s="8" t="s">
        <v>96</v>
      </c>
      <c r="D76">
        <f>(1-0.5172)*0.0161 + 0.5172*0.1285</f>
        <v>7.4233279999999999E-2</v>
      </c>
      <c r="R76" s="8">
        <f>0.0742</f>
        <v>7.4200000000000002E-2</v>
      </c>
    </row>
    <row r="77" spans="2:18" x14ac:dyDescent="0.2">
      <c r="B77" s="8" t="s">
        <v>97</v>
      </c>
      <c r="D77">
        <f>(1-0.5046)*0.06 + 0.5046*0.0445</f>
        <v>5.2178699999999995E-2</v>
      </c>
      <c r="R77" s="8">
        <f>0.0522</f>
        <v>5.2200000000000003E-2</v>
      </c>
    </row>
    <row r="78" spans="2:18" x14ac:dyDescent="0.2">
      <c r="B78" s="8" t="s">
        <v>98</v>
      </c>
      <c r="D78">
        <f>(1-0.5654)*-0.0401 + 0.5654*-0.0134</f>
        <v>-2.500382E-2</v>
      </c>
      <c r="R78" s="8">
        <f>-0.025</f>
        <v>-2.5000000000000001E-2</v>
      </c>
    </row>
    <row r="81" spans="2:20" x14ac:dyDescent="0.2">
      <c r="B81" s="7" t="s">
        <v>99</v>
      </c>
      <c r="E81" s="8">
        <v>7.4200000000000002E-2</v>
      </c>
      <c r="F81" s="8">
        <v>5.2200000000000003E-2</v>
      </c>
      <c r="G81" s="8">
        <v>-2.5000000000000001E-2</v>
      </c>
    </row>
    <row r="84" spans="2:20" x14ac:dyDescent="0.2">
      <c r="B84" s="37" t="s">
        <v>101</v>
      </c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3"/>
    </row>
    <row r="86" spans="2:20" x14ac:dyDescent="0.2">
      <c r="B86" s="17" t="s">
        <v>76</v>
      </c>
      <c r="D86" s="13">
        <v>-0.1</v>
      </c>
      <c r="E86" s="13">
        <v>0.2</v>
      </c>
      <c r="F86" s="13">
        <v>0.1</v>
      </c>
      <c r="G86" s="13">
        <v>0.1</v>
      </c>
    </row>
    <row r="87" spans="2:20" x14ac:dyDescent="0.2">
      <c r="B87" s="7" t="s">
        <v>77</v>
      </c>
      <c r="D87" s="8">
        <v>7.4200000000000002E-2</v>
      </c>
      <c r="E87" s="8">
        <v>5.2200000000000003E-2</v>
      </c>
      <c r="F87" s="8">
        <v>-2.5000000000000001E-2</v>
      </c>
    </row>
    <row r="89" spans="2:20" x14ac:dyDescent="0.2">
      <c r="B89" s="14" t="s">
        <v>78</v>
      </c>
      <c r="E89" s="14">
        <v>7.4200000000000002E-2</v>
      </c>
      <c r="F89" s="14">
        <v>5.2200000000000003E-2</v>
      </c>
      <c r="G89" s="14">
        <v>-2.5000000000000001E-2</v>
      </c>
      <c r="H89" s="14">
        <v>-0.1</v>
      </c>
      <c r="I89" s="14">
        <v>0.2</v>
      </c>
      <c r="J89" s="14">
        <v>0.1</v>
      </c>
      <c r="K89" s="14">
        <v>0.1</v>
      </c>
    </row>
    <row r="91" spans="2:20" x14ac:dyDescent="0.2">
      <c r="B91" s="3" t="s">
        <v>79</v>
      </c>
    </row>
    <row r="92" spans="2:20" x14ac:dyDescent="0.2">
      <c r="B92" s="11" t="s">
        <v>80</v>
      </c>
      <c r="D92" s="30" t="s">
        <v>293</v>
      </c>
    </row>
    <row r="93" spans="2:20" x14ac:dyDescent="0.2">
      <c r="B93" s="11" t="s">
        <v>81</v>
      </c>
      <c r="D93" s="30" t="s">
        <v>294</v>
      </c>
    </row>
    <row r="94" spans="2:20" x14ac:dyDescent="0.2">
      <c r="B94" s="11" t="s">
        <v>82</v>
      </c>
      <c r="D94" s="30" t="s">
        <v>295</v>
      </c>
    </row>
    <row r="96" spans="2:20" x14ac:dyDescent="0.2">
      <c r="B96" s="5" t="s">
        <v>83</v>
      </c>
    </row>
    <row r="97" spans="2:18" x14ac:dyDescent="0.2">
      <c r="B97" s="10" t="s">
        <v>84</v>
      </c>
      <c r="D97" s="30" t="s">
        <v>296</v>
      </c>
    </row>
    <row r="98" spans="2:18" x14ac:dyDescent="0.2">
      <c r="B98" s="10" t="s">
        <v>85</v>
      </c>
      <c r="D98" s="30" t="s">
        <v>297</v>
      </c>
    </row>
    <row r="99" spans="2:18" x14ac:dyDescent="0.2">
      <c r="B99" s="10" t="s">
        <v>86</v>
      </c>
      <c r="D99" s="30" t="s">
        <v>298</v>
      </c>
    </row>
    <row r="101" spans="2:18" x14ac:dyDescent="0.2">
      <c r="B101" s="3" t="s">
        <v>87</v>
      </c>
    </row>
    <row r="102" spans="2:18" x14ac:dyDescent="0.2">
      <c r="B102" s="11" t="s">
        <v>88</v>
      </c>
      <c r="D102" s="30" t="s">
        <v>299</v>
      </c>
    </row>
    <row r="103" spans="2:18" x14ac:dyDescent="0.2">
      <c r="B103" s="11" t="s">
        <v>89</v>
      </c>
      <c r="D103" s="30" t="s">
        <v>300</v>
      </c>
    </row>
    <row r="104" spans="2:18" x14ac:dyDescent="0.2">
      <c r="B104" s="11" t="s">
        <v>90</v>
      </c>
      <c r="D104" s="30" t="s">
        <v>301</v>
      </c>
    </row>
    <row r="106" spans="2:18" x14ac:dyDescent="0.2">
      <c r="B106" s="6" t="s">
        <v>91</v>
      </c>
    </row>
    <row r="107" spans="2:18" x14ac:dyDescent="0.2">
      <c r="B107" s="12" t="s">
        <v>92</v>
      </c>
      <c r="D107" s="30" t="s">
        <v>302</v>
      </c>
    </row>
    <row r="108" spans="2:18" x14ac:dyDescent="0.2">
      <c r="B108" s="12" t="s">
        <v>93</v>
      </c>
      <c r="D108" s="30" t="s">
        <v>303</v>
      </c>
    </row>
    <row r="109" spans="2:18" x14ac:dyDescent="0.2">
      <c r="B109" s="12" t="s">
        <v>94</v>
      </c>
      <c r="D109" s="30" t="s">
        <v>304</v>
      </c>
    </row>
    <row r="111" spans="2:18" x14ac:dyDescent="0.2">
      <c r="B111" s="7" t="s">
        <v>95</v>
      </c>
    </row>
    <row r="112" spans="2:18" x14ac:dyDescent="0.2">
      <c r="B112" s="8" t="s">
        <v>96</v>
      </c>
      <c r="D112" s="30" t="s">
        <v>305</v>
      </c>
      <c r="R112" s="8">
        <f>0.0418</f>
        <v>4.1799999999999997E-2</v>
      </c>
    </row>
    <row r="113" spans="2:20" x14ac:dyDescent="0.2">
      <c r="B113" s="8" t="s">
        <v>97</v>
      </c>
      <c r="D113" s="30" t="s">
        <v>306</v>
      </c>
      <c r="R113" s="8">
        <f>0.0422</f>
        <v>4.2200000000000001E-2</v>
      </c>
    </row>
    <row r="114" spans="2:20" x14ac:dyDescent="0.2">
      <c r="B114" s="8" t="s">
        <v>98</v>
      </c>
      <c r="D114" s="30" t="s">
        <v>307</v>
      </c>
      <c r="R114" s="8">
        <f>0.0146</f>
        <v>1.46E-2</v>
      </c>
    </row>
    <row r="117" spans="2:20" x14ac:dyDescent="0.2">
      <c r="B117" s="7" t="s">
        <v>99</v>
      </c>
      <c r="E117" s="8">
        <v>4.1799999999999997E-2</v>
      </c>
      <c r="F117" s="8">
        <v>4.2200000000000001E-2</v>
      </c>
      <c r="G117" s="8">
        <v>1.46E-2</v>
      </c>
    </row>
    <row r="120" spans="2:20" x14ac:dyDescent="0.2">
      <c r="B120" s="37" t="s">
        <v>102</v>
      </c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3"/>
    </row>
    <row r="122" spans="2:20" x14ac:dyDescent="0.2">
      <c r="B122" s="17" t="s">
        <v>76</v>
      </c>
      <c r="D122" s="13">
        <v>0.6</v>
      </c>
      <c r="E122" s="13">
        <v>0.5</v>
      </c>
      <c r="F122" s="13">
        <v>0.4</v>
      </c>
      <c r="G122" s="13">
        <v>0.3</v>
      </c>
    </row>
    <row r="123" spans="2:20" x14ac:dyDescent="0.2">
      <c r="B123" s="7" t="s">
        <v>77</v>
      </c>
      <c r="D123" s="8">
        <v>4.1799999999999997E-2</v>
      </c>
      <c r="E123" s="8">
        <v>4.2200000000000001E-2</v>
      </c>
      <c r="F123" s="8">
        <v>1.46E-2</v>
      </c>
    </row>
    <row r="125" spans="2:20" x14ac:dyDescent="0.2">
      <c r="B125" s="14" t="s">
        <v>78</v>
      </c>
      <c r="E125" s="14">
        <v>4.1799999999999997E-2</v>
      </c>
      <c r="F125" s="14">
        <v>4.2200000000000001E-2</v>
      </c>
      <c r="G125" s="14">
        <v>1.46E-2</v>
      </c>
      <c r="H125" s="14">
        <v>0.6</v>
      </c>
      <c r="I125" s="14">
        <v>0.5</v>
      </c>
      <c r="J125" s="14">
        <v>0.4</v>
      </c>
      <c r="K125" s="14">
        <v>0.3</v>
      </c>
    </row>
    <row r="127" spans="2:20" x14ac:dyDescent="0.2">
      <c r="B127" s="3" t="s">
        <v>79</v>
      </c>
    </row>
    <row r="128" spans="2:20" x14ac:dyDescent="0.2">
      <c r="B128" s="11" t="s">
        <v>80</v>
      </c>
      <c r="D128" s="30" t="s">
        <v>308</v>
      </c>
    </row>
    <row r="129" spans="2:4" x14ac:dyDescent="0.2">
      <c r="B129" s="11" t="s">
        <v>81</v>
      </c>
      <c r="D129" s="30" t="s">
        <v>309</v>
      </c>
    </row>
    <row r="130" spans="2:4" x14ac:dyDescent="0.2">
      <c r="B130" s="11" t="s">
        <v>82</v>
      </c>
      <c r="D130" s="30" t="s">
        <v>310</v>
      </c>
    </row>
    <row r="132" spans="2:4" x14ac:dyDescent="0.2">
      <c r="B132" s="5" t="s">
        <v>83</v>
      </c>
    </row>
    <row r="133" spans="2:4" x14ac:dyDescent="0.2">
      <c r="B133" s="10" t="s">
        <v>84</v>
      </c>
      <c r="D133" s="30" t="s">
        <v>311</v>
      </c>
    </row>
    <row r="134" spans="2:4" x14ac:dyDescent="0.2">
      <c r="B134" s="10" t="s">
        <v>85</v>
      </c>
      <c r="D134" s="30" t="s">
        <v>312</v>
      </c>
    </row>
    <row r="135" spans="2:4" x14ac:dyDescent="0.2">
      <c r="B135" s="10" t="s">
        <v>86</v>
      </c>
      <c r="D135" s="30" t="s">
        <v>313</v>
      </c>
    </row>
    <row r="137" spans="2:4" x14ac:dyDescent="0.2">
      <c r="B137" s="3" t="s">
        <v>87</v>
      </c>
    </row>
    <row r="138" spans="2:4" x14ac:dyDescent="0.2">
      <c r="B138" s="11" t="s">
        <v>88</v>
      </c>
      <c r="D138" s="30" t="s">
        <v>314</v>
      </c>
    </row>
    <row r="139" spans="2:4" x14ac:dyDescent="0.2">
      <c r="B139" s="11" t="s">
        <v>89</v>
      </c>
      <c r="D139" s="30" t="s">
        <v>315</v>
      </c>
    </row>
    <row r="140" spans="2:4" x14ac:dyDescent="0.2">
      <c r="B140" s="11" t="s">
        <v>90</v>
      </c>
      <c r="D140" s="30" t="s">
        <v>316</v>
      </c>
    </row>
    <row r="142" spans="2:4" x14ac:dyDescent="0.2">
      <c r="B142" s="6" t="s">
        <v>91</v>
      </c>
    </row>
    <row r="143" spans="2:4" x14ac:dyDescent="0.2">
      <c r="B143" s="12" t="s">
        <v>92</v>
      </c>
      <c r="D143" s="30" t="s">
        <v>317</v>
      </c>
    </row>
    <row r="144" spans="2:4" x14ac:dyDescent="0.2">
      <c r="B144" s="12" t="s">
        <v>93</v>
      </c>
      <c r="D144" s="30" t="s">
        <v>318</v>
      </c>
    </row>
    <row r="145" spans="2:20" x14ac:dyDescent="0.2">
      <c r="B145" s="12" t="s">
        <v>94</v>
      </c>
      <c r="D145" s="30" t="s">
        <v>319</v>
      </c>
    </row>
    <row r="147" spans="2:20" x14ac:dyDescent="0.2">
      <c r="B147" s="7" t="s">
        <v>95</v>
      </c>
    </row>
    <row r="148" spans="2:20" x14ac:dyDescent="0.2">
      <c r="B148" s="8" t="s">
        <v>96</v>
      </c>
      <c r="D148" s="30" t="s">
        <v>320</v>
      </c>
      <c r="R148" s="8">
        <f>0.1422</f>
        <v>0.14219999999999999</v>
      </c>
    </row>
    <row r="149" spans="2:20" x14ac:dyDescent="0.2">
      <c r="B149" s="8" t="s">
        <v>97</v>
      </c>
      <c r="D149" s="30" t="s">
        <v>321</v>
      </c>
      <c r="R149" s="8">
        <f>0.0945</f>
        <v>9.4500000000000001E-2</v>
      </c>
    </row>
    <row r="150" spans="2:20" x14ac:dyDescent="0.2">
      <c r="B150" s="8" t="s">
        <v>98</v>
      </c>
      <c r="D150" s="30" t="s">
        <v>322</v>
      </c>
      <c r="R150" s="8">
        <f>-0.0021</f>
        <v>-2.0999999999999999E-3</v>
      </c>
    </row>
    <row r="153" spans="2:20" x14ac:dyDescent="0.2">
      <c r="B153" s="7" t="s">
        <v>99</v>
      </c>
      <c r="E153" s="8">
        <v>0.14219999999999999</v>
      </c>
      <c r="F153" s="8">
        <v>9.4500000000000001E-2</v>
      </c>
      <c r="G153" s="8">
        <v>-2.0999999999999999E-3</v>
      </c>
    </row>
    <row r="156" spans="2:20" x14ac:dyDescent="0.2">
      <c r="B156" s="39" t="s">
        <v>103</v>
      </c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3"/>
    </row>
    <row r="158" spans="2:20" x14ac:dyDescent="0.2">
      <c r="B158" s="7" t="s">
        <v>104</v>
      </c>
      <c r="E158" s="8">
        <v>0.14219999999999999</v>
      </c>
      <c r="F158" s="8">
        <v>9.4500000000000001E-2</v>
      </c>
      <c r="G158" s="8">
        <v>-2.0999999999999999E-3</v>
      </c>
    </row>
    <row r="160" spans="2:20" x14ac:dyDescent="0.2">
      <c r="B160" s="19" t="s">
        <v>105</v>
      </c>
    </row>
    <row r="161" spans="2:2" x14ac:dyDescent="0.2">
      <c r="B161" t="s">
        <v>106</v>
      </c>
    </row>
    <row r="162" spans="2:2" x14ac:dyDescent="0.2">
      <c r="B162" s="20" t="s">
        <v>107</v>
      </c>
    </row>
    <row r="164" spans="2:2" x14ac:dyDescent="0.2">
      <c r="B164" s="19" t="s">
        <v>108</v>
      </c>
    </row>
    <row r="166" spans="2:2" x14ac:dyDescent="0.2">
      <c r="B166" s="25" t="s">
        <v>109</v>
      </c>
    </row>
  </sheetData>
  <mergeCells count="8">
    <mergeCell ref="B156:T156"/>
    <mergeCell ref="B120:T120"/>
    <mergeCell ref="A1:J1"/>
    <mergeCell ref="B84:T84"/>
    <mergeCell ref="B2:AH2"/>
    <mergeCell ref="B4:T4"/>
    <mergeCell ref="B12:T12"/>
    <mergeCell ref="B48:T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sqref="A1:J1"/>
    </sheetView>
  </sheetViews>
  <sheetFormatPr baseColWidth="10" defaultColWidth="8.83203125" defaultRowHeight="15" x14ac:dyDescent="0.2"/>
  <cols>
    <col min="1" max="14" width="9" customWidth="1"/>
  </cols>
  <sheetData>
    <row r="1" spans="1:20" x14ac:dyDescent="0.2">
      <c r="A1" s="34" t="s">
        <v>110</v>
      </c>
      <c r="B1" s="35"/>
      <c r="C1" s="35"/>
      <c r="D1" s="35"/>
      <c r="E1" s="35"/>
      <c r="F1" s="35"/>
      <c r="G1" s="35"/>
      <c r="H1" s="35"/>
      <c r="I1" s="35"/>
      <c r="J1" s="35"/>
    </row>
    <row r="2" spans="1:20" x14ac:dyDescent="0.2">
      <c r="B2" s="31" t="s">
        <v>111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3"/>
    </row>
    <row r="4" spans="1:20" x14ac:dyDescent="0.2">
      <c r="B4" s="41" t="s">
        <v>112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3"/>
    </row>
    <row r="6" spans="1:20" x14ac:dyDescent="0.2">
      <c r="B6" t="s">
        <v>113</v>
      </c>
    </row>
    <row r="8" spans="1:20" x14ac:dyDescent="0.2">
      <c r="B8" s="1" t="s">
        <v>114</v>
      </c>
      <c r="C8" s="1" t="s">
        <v>115</v>
      </c>
      <c r="E8" s="3" t="s">
        <v>116</v>
      </c>
      <c r="F8" s="3" t="s">
        <v>117</v>
      </c>
      <c r="G8" s="3" t="s">
        <v>118</v>
      </c>
    </row>
    <row r="9" spans="1:20" x14ac:dyDescent="0.2">
      <c r="B9" s="14" t="s">
        <v>119</v>
      </c>
      <c r="C9" s="18" t="s">
        <v>45</v>
      </c>
      <c r="E9" s="11" t="s">
        <v>120</v>
      </c>
      <c r="F9" s="11" t="s">
        <v>121</v>
      </c>
      <c r="G9" s="11" t="s">
        <v>122</v>
      </c>
    </row>
    <row r="10" spans="1:20" x14ac:dyDescent="0.2">
      <c r="B10" s="14" t="s">
        <v>123</v>
      </c>
      <c r="C10" s="18" t="s">
        <v>46</v>
      </c>
      <c r="E10" s="11" t="s">
        <v>124</v>
      </c>
      <c r="F10" s="11" t="s">
        <v>125</v>
      </c>
      <c r="G10" s="11" t="s">
        <v>126</v>
      </c>
    </row>
    <row r="11" spans="1:20" x14ac:dyDescent="0.2">
      <c r="B11" s="14" t="s">
        <v>127</v>
      </c>
      <c r="C11" s="18" t="s">
        <v>47</v>
      </c>
      <c r="E11" s="11" t="s">
        <v>128</v>
      </c>
      <c r="F11" s="11" t="s">
        <v>129</v>
      </c>
      <c r="G11" s="11" t="s">
        <v>130</v>
      </c>
    </row>
    <row r="12" spans="1:20" x14ac:dyDescent="0.2">
      <c r="B12" s="14" t="s">
        <v>131</v>
      </c>
      <c r="C12" s="18" t="s">
        <v>48</v>
      </c>
      <c r="E12" s="11" t="s">
        <v>132</v>
      </c>
      <c r="F12" s="11" t="s">
        <v>133</v>
      </c>
      <c r="G12" s="11" t="s">
        <v>134</v>
      </c>
    </row>
    <row r="15" spans="1:20" x14ac:dyDescent="0.2">
      <c r="B15" s="38" t="s">
        <v>135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</row>
    <row r="17" spans="2:14" x14ac:dyDescent="0.2">
      <c r="B17" t="s">
        <v>136</v>
      </c>
    </row>
    <row r="19" spans="2:14" x14ac:dyDescent="0.2">
      <c r="B19" s="1" t="s">
        <v>114</v>
      </c>
      <c r="C19" s="1" t="s">
        <v>115</v>
      </c>
      <c r="E19" s="5" t="s">
        <v>137</v>
      </c>
      <c r="F19" s="5" t="s">
        <v>138</v>
      </c>
      <c r="G19" s="5" t="s">
        <v>139</v>
      </c>
    </row>
    <row r="20" spans="2:14" x14ac:dyDescent="0.2">
      <c r="B20" s="14" t="s">
        <v>119</v>
      </c>
      <c r="C20" s="18" t="s">
        <v>45</v>
      </c>
      <c r="E20" s="10" t="s">
        <v>140</v>
      </c>
      <c r="F20" s="10" t="s">
        <v>141</v>
      </c>
      <c r="G20" s="10" t="s">
        <v>141</v>
      </c>
    </row>
    <row r="21" spans="2:14" x14ac:dyDescent="0.2">
      <c r="B21" s="14" t="s">
        <v>123</v>
      </c>
      <c r="C21" s="18" t="s">
        <v>46</v>
      </c>
      <c r="E21" s="10" t="s">
        <v>142</v>
      </c>
      <c r="F21" s="10" t="s">
        <v>130</v>
      </c>
      <c r="G21" s="10" t="s">
        <v>143</v>
      </c>
    </row>
    <row r="22" spans="2:14" x14ac:dyDescent="0.2">
      <c r="B22" s="14" t="s">
        <v>127</v>
      </c>
      <c r="C22" s="18" t="s">
        <v>47</v>
      </c>
      <c r="E22" s="10" t="s">
        <v>144</v>
      </c>
      <c r="F22" s="10" t="s">
        <v>145</v>
      </c>
      <c r="G22" s="10" t="s">
        <v>146</v>
      </c>
    </row>
    <row r="23" spans="2:14" x14ac:dyDescent="0.2">
      <c r="B23" s="14" t="s">
        <v>131</v>
      </c>
      <c r="C23" s="18" t="s">
        <v>48</v>
      </c>
      <c r="E23" s="10" t="s">
        <v>147</v>
      </c>
      <c r="F23" s="10" t="s">
        <v>148</v>
      </c>
      <c r="G23" s="10" t="s">
        <v>149</v>
      </c>
    </row>
    <row r="26" spans="2:14" x14ac:dyDescent="0.2">
      <c r="B26" s="36" t="s">
        <v>150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3"/>
    </row>
    <row r="28" spans="2:14" x14ac:dyDescent="0.2">
      <c r="B28" s="1" t="s">
        <v>114</v>
      </c>
      <c r="C28" s="1" t="s">
        <v>115</v>
      </c>
      <c r="E28" s="7" t="s">
        <v>51</v>
      </c>
      <c r="F28" s="7" t="s">
        <v>52</v>
      </c>
      <c r="G28" s="7" t="s">
        <v>53</v>
      </c>
    </row>
    <row r="29" spans="2:14" x14ac:dyDescent="0.2">
      <c r="B29" s="14" t="s">
        <v>119</v>
      </c>
      <c r="C29" s="18" t="s">
        <v>45</v>
      </c>
      <c r="E29" s="8">
        <v>1.61E-2</v>
      </c>
      <c r="F29" s="8">
        <v>0.06</v>
      </c>
      <c r="G29" s="8">
        <v>-4.0099999999999997E-2</v>
      </c>
    </row>
    <row r="30" spans="2:14" x14ac:dyDescent="0.2">
      <c r="B30" s="14" t="s">
        <v>123</v>
      </c>
      <c r="C30" s="18" t="s">
        <v>46</v>
      </c>
      <c r="E30" s="8">
        <v>7.4200000000000002E-2</v>
      </c>
      <c r="F30" s="8">
        <v>5.2200000000000003E-2</v>
      </c>
      <c r="G30" s="8">
        <v>-2.5000000000000001E-2</v>
      </c>
    </row>
    <row r="31" spans="2:14" x14ac:dyDescent="0.2">
      <c r="B31" s="14" t="s">
        <v>127</v>
      </c>
      <c r="C31" s="18" t="s">
        <v>47</v>
      </c>
      <c r="E31" s="8">
        <v>4.1799999999999997E-2</v>
      </c>
      <c r="F31" s="8">
        <v>4.2200000000000001E-2</v>
      </c>
      <c r="G31" s="8">
        <v>1.46E-2</v>
      </c>
    </row>
    <row r="32" spans="2:14" x14ac:dyDescent="0.2">
      <c r="B32" s="14" t="s">
        <v>131</v>
      </c>
      <c r="C32" s="18" t="s">
        <v>48</v>
      </c>
      <c r="E32" s="8">
        <v>0.14219999999999999</v>
      </c>
      <c r="F32" s="8">
        <v>9.4500000000000001E-2</v>
      </c>
      <c r="G32" s="8">
        <v>-2.0999999999999999E-3</v>
      </c>
    </row>
  </sheetData>
  <mergeCells count="5">
    <mergeCell ref="A1:J1"/>
    <mergeCell ref="B4:N4"/>
    <mergeCell ref="B26:N26"/>
    <mergeCell ref="B15:N15"/>
    <mergeCell ref="B2: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1"/>
  <sheetViews>
    <sheetView workbookViewId="0">
      <selection sqref="A1:J1"/>
    </sheetView>
  </sheetViews>
  <sheetFormatPr baseColWidth="10" defaultColWidth="8.83203125" defaultRowHeight="15" x14ac:dyDescent="0.2"/>
  <cols>
    <col min="1" max="1" width="8" customWidth="1"/>
    <col min="2" max="2" width="24.83203125" customWidth="1"/>
    <col min="3" max="19" width="8" customWidth="1"/>
  </cols>
  <sheetData>
    <row r="1" spans="1:22" x14ac:dyDescent="0.2">
      <c r="A1" s="34" t="s">
        <v>151</v>
      </c>
      <c r="B1" s="35"/>
      <c r="C1" s="35"/>
      <c r="D1" s="35"/>
      <c r="E1" s="35"/>
      <c r="F1" s="35"/>
      <c r="G1" s="35"/>
      <c r="H1" s="35"/>
      <c r="I1" s="35"/>
      <c r="J1" s="35"/>
    </row>
    <row r="2" spans="1:22" x14ac:dyDescent="0.2">
      <c r="B2" s="31" t="s">
        <v>152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3"/>
    </row>
    <row r="4" spans="1:22" x14ac:dyDescent="0.2">
      <c r="B4" s="14"/>
      <c r="E4" s="45" t="s">
        <v>153</v>
      </c>
      <c r="F4" s="32"/>
      <c r="G4" s="32"/>
      <c r="H4" s="32"/>
      <c r="I4" s="33"/>
      <c r="K4" s="37" t="s">
        <v>154</v>
      </c>
      <c r="L4" s="32"/>
      <c r="M4" s="32"/>
      <c r="N4" s="32"/>
      <c r="O4" s="33"/>
    </row>
    <row r="5" spans="1:22" x14ac:dyDescent="0.2">
      <c r="B5" s="1" t="s">
        <v>155</v>
      </c>
      <c r="E5" s="44" t="s">
        <v>156</v>
      </c>
      <c r="F5" s="32"/>
      <c r="G5" s="32"/>
      <c r="H5" s="32"/>
      <c r="I5" s="33"/>
      <c r="K5" s="46" t="s">
        <v>157</v>
      </c>
      <c r="L5" s="32"/>
      <c r="M5" s="32"/>
      <c r="N5" s="32"/>
      <c r="O5" s="33"/>
    </row>
    <row r="6" spans="1:22" x14ac:dyDescent="0.2">
      <c r="B6" s="1" t="s">
        <v>158</v>
      </c>
      <c r="E6" s="44" t="s">
        <v>159</v>
      </c>
      <c r="F6" s="32"/>
      <c r="G6" s="32"/>
      <c r="H6" s="32"/>
      <c r="I6" s="33"/>
      <c r="K6" s="46" t="s">
        <v>160</v>
      </c>
      <c r="L6" s="32"/>
      <c r="M6" s="32"/>
      <c r="N6" s="32"/>
      <c r="O6" s="33"/>
    </row>
    <row r="7" spans="1:22" x14ac:dyDescent="0.2">
      <c r="B7" s="1" t="s">
        <v>161</v>
      </c>
      <c r="E7" s="44" t="s">
        <v>162</v>
      </c>
      <c r="F7" s="32"/>
      <c r="G7" s="32"/>
      <c r="H7" s="32"/>
      <c r="I7" s="33"/>
      <c r="K7" s="46" t="s">
        <v>163</v>
      </c>
      <c r="L7" s="32"/>
      <c r="M7" s="32"/>
      <c r="N7" s="32"/>
      <c r="O7" s="33"/>
    </row>
    <row r="8" spans="1:22" x14ac:dyDescent="0.2">
      <c r="B8" s="1" t="s">
        <v>164</v>
      </c>
      <c r="E8" s="44" t="s">
        <v>165</v>
      </c>
      <c r="F8" s="32"/>
      <c r="G8" s="32"/>
      <c r="H8" s="32"/>
      <c r="I8" s="33"/>
      <c r="K8" s="46" t="s">
        <v>166</v>
      </c>
      <c r="L8" s="32"/>
      <c r="M8" s="32"/>
      <c r="N8" s="32"/>
      <c r="O8" s="33"/>
    </row>
    <row r="9" spans="1:22" x14ac:dyDescent="0.2">
      <c r="B9" s="1" t="s">
        <v>167</v>
      </c>
      <c r="E9" s="44" t="s">
        <v>168</v>
      </c>
      <c r="F9" s="32"/>
      <c r="G9" s="32"/>
      <c r="H9" s="32"/>
      <c r="I9" s="33"/>
      <c r="K9" s="46" t="s">
        <v>169</v>
      </c>
      <c r="L9" s="32"/>
      <c r="M9" s="32"/>
      <c r="N9" s="32"/>
      <c r="O9" s="33"/>
    </row>
    <row r="10" spans="1:22" x14ac:dyDescent="0.2">
      <c r="B10" s="1" t="s">
        <v>170</v>
      </c>
      <c r="E10" s="44" t="s">
        <v>171</v>
      </c>
      <c r="F10" s="32"/>
      <c r="G10" s="32"/>
      <c r="H10" s="32"/>
      <c r="I10" s="33"/>
      <c r="K10" s="46" t="s">
        <v>172</v>
      </c>
      <c r="L10" s="32"/>
      <c r="M10" s="32"/>
      <c r="N10" s="32"/>
      <c r="O10" s="33"/>
    </row>
    <row r="11" spans="1:22" x14ac:dyDescent="0.2">
      <c r="B11" s="1" t="s">
        <v>173</v>
      </c>
      <c r="E11" s="44" t="s">
        <v>174</v>
      </c>
      <c r="F11" s="32"/>
      <c r="G11" s="32"/>
      <c r="H11" s="32"/>
      <c r="I11" s="33"/>
      <c r="K11" s="46" t="s">
        <v>175</v>
      </c>
      <c r="L11" s="32"/>
      <c r="M11" s="32"/>
      <c r="N11" s="32"/>
      <c r="O11" s="33"/>
    </row>
    <row r="12" spans="1:22" x14ac:dyDescent="0.2">
      <c r="B12" s="1" t="s">
        <v>176</v>
      </c>
      <c r="E12" s="44" t="s">
        <v>177</v>
      </c>
      <c r="F12" s="32"/>
      <c r="G12" s="32"/>
      <c r="H12" s="32"/>
      <c r="I12" s="33"/>
      <c r="K12" s="46" t="s">
        <v>177</v>
      </c>
      <c r="L12" s="32"/>
      <c r="M12" s="32"/>
      <c r="N12" s="32"/>
      <c r="O12" s="33"/>
    </row>
    <row r="15" spans="1:22" x14ac:dyDescent="0.2">
      <c r="B15" s="31" t="s">
        <v>178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3"/>
    </row>
    <row r="17" spans="2:2" x14ac:dyDescent="0.2">
      <c r="B17" t="s">
        <v>179</v>
      </c>
    </row>
    <row r="18" spans="2:2" x14ac:dyDescent="0.2">
      <c r="B18" t="s">
        <v>180</v>
      </c>
    </row>
    <row r="19" spans="2:2" x14ac:dyDescent="0.2">
      <c r="B19" t="s">
        <v>181</v>
      </c>
    </row>
    <row r="21" spans="2:2" x14ac:dyDescent="0.2">
      <c r="B21" t="s">
        <v>182</v>
      </c>
    </row>
    <row r="22" spans="2:2" x14ac:dyDescent="0.2">
      <c r="B22" t="s">
        <v>183</v>
      </c>
    </row>
    <row r="24" spans="2:2" x14ac:dyDescent="0.2">
      <c r="B24" t="s">
        <v>184</v>
      </c>
    </row>
    <row r="25" spans="2:2" x14ac:dyDescent="0.2">
      <c r="B25" t="s">
        <v>185</v>
      </c>
    </row>
    <row r="26" spans="2:2" x14ac:dyDescent="0.2">
      <c r="B26" t="s">
        <v>186</v>
      </c>
    </row>
    <row r="27" spans="2:2" x14ac:dyDescent="0.2">
      <c r="B27" t="s">
        <v>187</v>
      </c>
    </row>
    <row r="29" spans="2:2" x14ac:dyDescent="0.2">
      <c r="B29" t="s">
        <v>188</v>
      </c>
    </row>
    <row r="30" spans="2:2" x14ac:dyDescent="0.2">
      <c r="B30" t="s">
        <v>189</v>
      </c>
    </row>
    <row r="31" spans="2:2" x14ac:dyDescent="0.2">
      <c r="B31" t="s">
        <v>190</v>
      </c>
    </row>
  </sheetData>
  <mergeCells count="21">
    <mergeCell ref="B15:P15"/>
    <mergeCell ref="A1:J1"/>
    <mergeCell ref="K12:O12"/>
    <mergeCell ref="E6:I6"/>
    <mergeCell ref="K8:O8"/>
    <mergeCell ref="E11:I11"/>
    <mergeCell ref="E7:I7"/>
    <mergeCell ref="K7:O7"/>
    <mergeCell ref="K10:O10"/>
    <mergeCell ref="K6:O6"/>
    <mergeCell ref="K4:O4"/>
    <mergeCell ref="E12:I12"/>
    <mergeCell ref="B2:V2"/>
    <mergeCell ref="K9:O9"/>
    <mergeCell ref="E5:I5"/>
    <mergeCell ref="K5:O5"/>
    <mergeCell ref="E8:I8"/>
    <mergeCell ref="E4:I4"/>
    <mergeCell ref="K11:O11"/>
    <mergeCell ref="E10:I10"/>
    <mergeCell ref="E9:I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93"/>
  <sheetViews>
    <sheetView tabSelected="1" topLeftCell="A22" zoomScale="125" workbookViewId="0">
      <selection activeCell="H49" sqref="H49"/>
    </sheetView>
  </sheetViews>
  <sheetFormatPr baseColWidth="10" defaultColWidth="8.83203125" defaultRowHeight="15" x14ac:dyDescent="0.2"/>
  <cols>
    <col min="1" max="1" width="7" customWidth="1"/>
    <col min="2" max="2" width="39.1640625" customWidth="1"/>
    <col min="3" max="9" width="7" customWidth="1"/>
    <col min="10" max="10" width="8.5" customWidth="1"/>
    <col min="11" max="34" width="7" customWidth="1"/>
  </cols>
  <sheetData>
    <row r="1" spans="1:34" x14ac:dyDescent="0.2">
      <c r="A1" s="34" t="s">
        <v>191</v>
      </c>
      <c r="B1" s="35"/>
      <c r="C1" s="35"/>
      <c r="D1" s="35"/>
      <c r="E1" s="35"/>
      <c r="F1" s="35"/>
      <c r="G1" s="35"/>
      <c r="H1" s="35"/>
      <c r="I1" s="35"/>
      <c r="J1" s="35"/>
    </row>
    <row r="2" spans="1:34" x14ac:dyDescent="0.2">
      <c r="B2" s="39" t="s">
        <v>192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3"/>
    </row>
    <row r="4" spans="1:34" x14ac:dyDescent="0.2">
      <c r="B4" s="16" t="s">
        <v>193</v>
      </c>
    </row>
    <row r="6" spans="1:34" x14ac:dyDescent="0.2">
      <c r="B6" s="39" t="s">
        <v>194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3"/>
    </row>
    <row r="8" spans="1:34" x14ac:dyDescent="0.2">
      <c r="B8" s="28" t="s">
        <v>195</v>
      </c>
    </row>
    <row r="10" spans="1:34" x14ac:dyDescent="0.2">
      <c r="B10" s="19" t="s">
        <v>196</v>
      </c>
      <c r="F10" s="19" t="s">
        <v>197</v>
      </c>
      <c r="J10" s="25" t="s">
        <v>198</v>
      </c>
      <c r="N10" s="26" t="s">
        <v>199</v>
      </c>
    </row>
    <row r="11" spans="1:34" x14ac:dyDescent="0.2">
      <c r="B11" s="14" t="s">
        <v>200</v>
      </c>
      <c r="F11" s="20">
        <v>0.5</v>
      </c>
      <c r="J11" s="29">
        <v>-6.6100000000000006E-2</v>
      </c>
      <c r="N11" s="27">
        <v>0.50660000000000005</v>
      </c>
    </row>
    <row r="12" spans="1:34" x14ac:dyDescent="0.2">
      <c r="B12" s="14" t="s">
        <v>201</v>
      </c>
      <c r="F12" s="20">
        <v>-0.3</v>
      </c>
      <c r="J12" s="29">
        <v>-4.3900000000000002E-2</v>
      </c>
      <c r="N12" s="27">
        <v>-0.29559999999999997</v>
      </c>
    </row>
    <row r="13" spans="1:34" x14ac:dyDescent="0.2">
      <c r="B13" s="14" t="s">
        <v>202</v>
      </c>
      <c r="F13" s="20">
        <v>0.4</v>
      </c>
      <c r="J13" s="29">
        <v>1E-3</v>
      </c>
      <c r="N13" s="27">
        <v>0.39989999999999998</v>
      </c>
    </row>
    <row r="15" spans="1:34" x14ac:dyDescent="0.2">
      <c r="B15" s="14" t="s">
        <v>203</v>
      </c>
      <c r="F15" s="20">
        <v>0.1</v>
      </c>
      <c r="J15" s="29">
        <v>-0.46460000000000001</v>
      </c>
      <c r="N15" s="27">
        <v>0.14649999999999999</v>
      </c>
    </row>
    <row r="18" spans="2:31" x14ac:dyDescent="0.2">
      <c r="B18" s="36" t="s">
        <v>204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3"/>
    </row>
    <row r="20" spans="2:31" x14ac:dyDescent="0.2">
      <c r="B20" s="7" t="s">
        <v>205</v>
      </c>
    </row>
    <row r="21" spans="2:31" x14ac:dyDescent="0.2">
      <c r="B21" s="8" t="s">
        <v>206</v>
      </c>
      <c r="E21" s="30" t="s">
        <v>323</v>
      </c>
    </row>
    <row r="22" spans="2:31" x14ac:dyDescent="0.2">
      <c r="B22" s="8" t="s">
        <v>207</v>
      </c>
      <c r="E22" s="30" t="s">
        <v>324</v>
      </c>
    </row>
    <row r="23" spans="2:31" x14ac:dyDescent="0.2">
      <c r="B23" s="8" t="s">
        <v>208</v>
      </c>
      <c r="E23" s="30" t="s">
        <v>325</v>
      </c>
    </row>
    <row r="26" spans="2:31" x14ac:dyDescent="0.2">
      <c r="B26" s="31" t="s">
        <v>209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3"/>
    </row>
    <row r="28" spans="2:31" x14ac:dyDescent="0.2">
      <c r="B28" s="5" t="s">
        <v>210</v>
      </c>
    </row>
    <row r="29" spans="2:31" x14ac:dyDescent="0.2">
      <c r="B29" s="10" t="s">
        <v>211</v>
      </c>
      <c r="E29" s="30" t="s">
        <v>326</v>
      </c>
    </row>
    <row r="30" spans="2:31" x14ac:dyDescent="0.2">
      <c r="B30" s="10" t="s">
        <v>212</v>
      </c>
      <c r="E30" s="30" t="s">
        <v>327</v>
      </c>
    </row>
    <row r="31" spans="2:31" x14ac:dyDescent="0.2">
      <c r="B31" s="10" t="s">
        <v>213</v>
      </c>
      <c r="E31" s="30" t="s">
        <v>328</v>
      </c>
    </row>
    <row r="33" spans="2:31" x14ac:dyDescent="0.2">
      <c r="B33" s="6" t="s">
        <v>214</v>
      </c>
    </row>
    <row r="34" spans="2:31" x14ac:dyDescent="0.2">
      <c r="B34" s="12" t="s">
        <v>215</v>
      </c>
      <c r="E34" s="30" t="s">
        <v>329</v>
      </c>
    </row>
    <row r="35" spans="2:31" x14ac:dyDescent="0.2">
      <c r="B35" s="12" t="s">
        <v>216</v>
      </c>
      <c r="E35" s="30" t="s">
        <v>330</v>
      </c>
    </row>
    <row r="36" spans="2:31" x14ac:dyDescent="0.2">
      <c r="B36" s="12" t="s">
        <v>217</v>
      </c>
      <c r="E36" s="30" t="s">
        <v>331</v>
      </c>
    </row>
    <row r="38" spans="2:31" x14ac:dyDescent="0.2">
      <c r="B38" s="3" t="s">
        <v>218</v>
      </c>
    </row>
    <row r="39" spans="2:31" x14ac:dyDescent="0.2">
      <c r="B39" s="11" t="s">
        <v>219</v>
      </c>
      <c r="E39" s="11">
        <f>0.0005</f>
        <v>5.0000000000000001E-4</v>
      </c>
    </row>
    <row r="40" spans="2:31" x14ac:dyDescent="0.2">
      <c r="B40" s="11" t="s">
        <v>220</v>
      </c>
      <c r="E40" s="11">
        <f>-0.0027</f>
        <v>-2.7000000000000001E-3</v>
      </c>
    </row>
    <row r="41" spans="2:31" x14ac:dyDescent="0.2">
      <c r="B41" s="11" t="s">
        <v>221</v>
      </c>
      <c r="E41" s="11">
        <f>0.0002</f>
        <v>2.0000000000000001E-4</v>
      </c>
    </row>
    <row r="44" spans="2:31" x14ac:dyDescent="0.2">
      <c r="B44" s="31" t="s">
        <v>222</v>
      </c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3"/>
    </row>
    <row r="46" spans="2:31" x14ac:dyDescent="0.2">
      <c r="B46" s="21" t="s">
        <v>223</v>
      </c>
    </row>
    <row r="47" spans="2:31" x14ac:dyDescent="0.2">
      <c r="B47" s="22" t="s">
        <v>224</v>
      </c>
    </row>
    <row r="48" spans="2:31" x14ac:dyDescent="0.2">
      <c r="B48" s="23" t="s">
        <v>225</v>
      </c>
    </row>
    <row r="51" spans="2:31" x14ac:dyDescent="0.2">
      <c r="B51" s="41" t="s">
        <v>226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3"/>
    </row>
    <row r="53" spans="2:31" x14ac:dyDescent="0.2">
      <c r="B53" s="14"/>
      <c r="D53" s="41" t="s">
        <v>197</v>
      </c>
      <c r="E53" s="32"/>
      <c r="F53" s="32"/>
      <c r="G53" s="32"/>
      <c r="H53" s="32"/>
      <c r="I53" s="32"/>
      <c r="J53" s="32"/>
      <c r="K53" s="33"/>
      <c r="M53" s="47" t="s">
        <v>198</v>
      </c>
      <c r="N53" s="32"/>
      <c r="O53" s="32"/>
      <c r="P53" s="32"/>
      <c r="Q53" s="32"/>
      <c r="R53" s="32"/>
      <c r="S53" s="32"/>
      <c r="T53" s="33"/>
      <c r="V53" s="45" t="s">
        <v>199</v>
      </c>
      <c r="W53" s="32"/>
      <c r="X53" s="32"/>
      <c r="Y53" s="32"/>
      <c r="Z53" s="32"/>
      <c r="AA53" s="32"/>
      <c r="AB53" s="32"/>
      <c r="AC53" s="33"/>
    </row>
    <row r="54" spans="2:31" x14ac:dyDescent="0.2">
      <c r="D54" s="14" t="s">
        <v>51</v>
      </c>
      <c r="E54" s="14" t="s">
        <v>52</v>
      </c>
      <c r="F54" s="14" t="s">
        <v>53</v>
      </c>
      <c r="G54" s="14" t="s">
        <v>54</v>
      </c>
      <c r="H54" s="14" t="s">
        <v>55</v>
      </c>
      <c r="I54" s="14" t="s">
        <v>56</v>
      </c>
      <c r="J54" s="14" t="s">
        <v>57</v>
      </c>
      <c r="M54" s="14" t="s">
        <v>51</v>
      </c>
      <c r="N54" s="14" t="s">
        <v>52</v>
      </c>
      <c r="O54" s="14" t="s">
        <v>53</v>
      </c>
      <c r="P54" s="14" t="s">
        <v>54</v>
      </c>
      <c r="Q54" s="14" t="s">
        <v>55</v>
      </c>
      <c r="R54" s="14" t="s">
        <v>56</v>
      </c>
      <c r="S54" s="14" t="s">
        <v>57</v>
      </c>
      <c r="V54" s="14" t="s">
        <v>51</v>
      </c>
      <c r="W54" s="14" t="s">
        <v>52</v>
      </c>
      <c r="X54" s="14" t="s">
        <v>53</v>
      </c>
      <c r="Y54" s="14" t="s">
        <v>54</v>
      </c>
      <c r="Z54" s="14" t="s">
        <v>55</v>
      </c>
      <c r="AA54" s="14" t="s">
        <v>56</v>
      </c>
      <c r="AB54" s="14" t="s">
        <v>57</v>
      </c>
    </row>
    <row r="55" spans="2:31" x14ac:dyDescent="0.2">
      <c r="B55" s="11" t="s">
        <v>227</v>
      </c>
      <c r="D55" s="11">
        <v>0.2</v>
      </c>
      <c r="E55" s="11">
        <v>-0.1</v>
      </c>
      <c r="F55" s="11">
        <v>0.1</v>
      </c>
      <c r="G55" s="11">
        <v>0.3</v>
      </c>
      <c r="H55" s="11">
        <v>-0.2</v>
      </c>
      <c r="I55" s="11">
        <v>0.1</v>
      </c>
      <c r="J55" s="11">
        <v>0.2</v>
      </c>
      <c r="M55" s="29">
        <v>0</v>
      </c>
      <c r="N55" s="29">
        <v>0</v>
      </c>
      <c r="O55" s="29">
        <v>0</v>
      </c>
      <c r="P55" s="29">
        <v>1E-4</v>
      </c>
      <c r="Q55" s="29">
        <v>1E-4</v>
      </c>
      <c r="R55" s="29">
        <v>1E-4</v>
      </c>
      <c r="S55" s="29">
        <v>0</v>
      </c>
      <c r="V55" s="27">
        <v>0.2</v>
      </c>
      <c r="W55" s="27">
        <v>-0.1</v>
      </c>
      <c r="X55" s="27">
        <v>0.1</v>
      </c>
      <c r="Y55" s="27">
        <v>0.3</v>
      </c>
      <c r="Z55" s="27">
        <v>-0.2</v>
      </c>
      <c r="AA55" s="27">
        <v>0.1</v>
      </c>
      <c r="AB55" s="27">
        <v>0.2</v>
      </c>
    </row>
    <row r="56" spans="2:31" x14ac:dyDescent="0.2">
      <c r="B56" s="11" t="s">
        <v>228</v>
      </c>
      <c r="D56" s="11">
        <v>0.1</v>
      </c>
      <c r="E56" s="11">
        <v>0.3</v>
      </c>
      <c r="F56" s="11">
        <v>-0.2</v>
      </c>
      <c r="G56" s="11">
        <v>-0.1</v>
      </c>
      <c r="H56" s="11">
        <v>0.2</v>
      </c>
      <c r="I56" s="11">
        <v>0.3</v>
      </c>
      <c r="J56" s="11">
        <v>-0.1</v>
      </c>
      <c r="M56" s="29">
        <v>0</v>
      </c>
      <c r="N56" s="29">
        <v>0</v>
      </c>
      <c r="O56" s="29">
        <v>0</v>
      </c>
      <c r="P56" s="29">
        <v>-4.0000000000000002E-4</v>
      </c>
      <c r="Q56" s="29">
        <v>-2.9999999999999997E-4</v>
      </c>
      <c r="R56" s="29">
        <v>-2.9999999999999997E-4</v>
      </c>
      <c r="S56" s="29">
        <v>-2.0000000000000001E-4</v>
      </c>
      <c r="V56" s="27">
        <v>0.1</v>
      </c>
      <c r="W56" s="27">
        <v>0.3</v>
      </c>
      <c r="X56" s="27">
        <v>-0.2</v>
      </c>
      <c r="Y56" s="27">
        <v>-0.1</v>
      </c>
      <c r="Z56" s="27">
        <v>0.2</v>
      </c>
      <c r="AA56" s="27">
        <v>0.3</v>
      </c>
      <c r="AB56" s="27">
        <v>-0.1</v>
      </c>
    </row>
    <row r="57" spans="2:31" x14ac:dyDescent="0.2">
      <c r="B57" s="11" t="s">
        <v>229</v>
      </c>
      <c r="D57" s="11">
        <v>-0.1</v>
      </c>
      <c r="E57" s="11">
        <v>0.2</v>
      </c>
      <c r="F57" s="11">
        <v>0.2</v>
      </c>
      <c r="G57" s="11">
        <v>0.1</v>
      </c>
      <c r="H57" s="11">
        <v>0.1</v>
      </c>
      <c r="I57" s="11">
        <v>-0.2</v>
      </c>
      <c r="J57" s="11">
        <v>0.3</v>
      </c>
      <c r="M57" s="29">
        <v>0</v>
      </c>
      <c r="N57" s="29">
        <v>0</v>
      </c>
      <c r="O57" s="29">
        <v>0</v>
      </c>
      <c r="P57" s="29">
        <v>0</v>
      </c>
      <c r="Q57" s="29">
        <v>0</v>
      </c>
      <c r="R57" s="29">
        <v>0</v>
      </c>
      <c r="S57" s="29">
        <v>0</v>
      </c>
      <c r="V57" s="27">
        <v>-0.1</v>
      </c>
      <c r="W57" s="27">
        <v>0.2</v>
      </c>
      <c r="X57" s="27">
        <v>0.2</v>
      </c>
      <c r="Y57" s="27">
        <v>0.1</v>
      </c>
      <c r="Z57" s="27">
        <v>0.1</v>
      </c>
      <c r="AA57" s="27">
        <v>-0.2</v>
      </c>
      <c r="AB57" s="27">
        <v>0.3</v>
      </c>
    </row>
    <row r="59" spans="2:31" x14ac:dyDescent="0.2">
      <c r="B59" s="11" t="s">
        <v>230</v>
      </c>
      <c r="D59" s="11">
        <v>0</v>
      </c>
      <c r="E59" s="11">
        <v>0</v>
      </c>
      <c r="F59" s="11">
        <v>0</v>
      </c>
      <c r="M59" s="29">
        <v>1E-4</v>
      </c>
      <c r="N59" s="29">
        <v>-6.9999999999999999E-4</v>
      </c>
      <c r="O59" s="29">
        <v>1E-4</v>
      </c>
      <c r="V59" s="27">
        <v>0</v>
      </c>
      <c r="W59" s="27">
        <v>1E-4</v>
      </c>
      <c r="X59" s="27">
        <v>0</v>
      </c>
    </row>
    <row r="62" spans="2:31" x14ac:dyDescent="0.2">
      <c r="B62" s="38" t="s">
        <v>231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3"/>
    </row>
    <row r="64" spans="2:31" x14ac:dyDescent="0.2">
      <c r="B64" s="14"/>
      <c r="D64" s="38" t="s">
        <v>197</v>
      </c>
      <c r="E64" s="32"/>
      <c r="F64" s="32"/>
      <c r="G64" s="32"/>
      <c r="H64" s="32"/>
      <c r="I64" s="32"/>
      <c r="J64" s="32"/>
      <c r="K64" s="33"/>
      <c r="M64" s="47" t="s">
        <v>198</v>
      </c>
      <c r="N64" s="32"/>
      <c r="O64" s="32"/>
      <c r="P64" s="32"/>
      <c r="Q64" s="32"/>
      <c r="R64" s="32"/>
      <c r="S64" s="32"/>
      <c r="T64" s="33"/>
      <c r="V64" s="45" t="s">
        <v>199</v>
      </c>
      <c r="W64" s="32"/>
      <c r="X64" s="32"/>
      <c r="Y64" s="32"/>
      <c r="Z64" s="32"/>
      <c r="AA64" s="32"/>
      <c r="AB64" s="32"/>
      <c r="AC64" s="33"/>
    </row>
    <row r="65" spans="2:31" x14ac:dyDescent="0.2">
      <c r="D65" s="14" t="s">
        <v>51</v>
      </c>
      <c r="E65" s="14" t="s">
        <v>52</v>
      </c>
      <c r="F65" s="14" t="s">
        <v>53</v>
      </c>
      <c r="G65" s="14" t="s">
        <v>54</v>
      </c>
      <c r="H65" s="14" t="s">
        <v>55</v>
      </c>
      <c r="I65" s="14" t="s">
        <v>56</v>
      </c>
      <c r="J65" s="14" t="s">
        <v>57</v>
      </c>
      <c r="M65" s="14" t="s">
        <v>51</v>
      </c>
      <c r="N65" s="14" t="s">
        <v>52</v>
      </c>
      <c r="O65" s="14" t="s">
        <v>53</v>
      </c>
      <c r="P65" s="14" t="s">
        <v>54</v>
      </c>
      <c r="Q65" s="14" t="s">
        <v>55</v>
      </c>
      <c r="R65" s="14" t="s">
        <v>56</v>
      </c>
      <c r="S65" s="14" t="s">
        <v>57</v>
      </c>
      <c r="V65" s="14" t="s">
        <v>51</v>
      </c>
      <c r="W65" s="14" t="s">
        <v>52</v>
      </c>
      <c r="X65" s="14" t="s">
        <v>53</v>
      </c>
      <c r="Y65" s="14" t="s">
        <v>54</v>
      </c>
      <c r="Z65" s="14" t="s">
        <v>55</v>
      </c>
      <c r="AA65" s="14" t="s">
        <v>56</v>
      </c>
      <c r="AB65" s="14" t="s">
        <v>57</v>
      </c>
    </row>
    <row r="66" spans="2:31" x14ac:dyDescent="0.2">
      <c r="B66" s="10" t="s">
        <v>232</v>
      </c>
      <c r="D66" s="10">
        <v>0.3</v>
      </c>
      <c r="E66" s="10">
        <v>-0.2</v>
      </c>
      <c r="F66" s="10">
        <v>0.1</v>
      </c>
      <c r="G66" s="10">
        <v>0.2</v>
      </c>
      <c r="H66" s="10">
        <v>0.1</v>
      </c>
      <c r="I66" s="10">
        <v>-0.1</v>
      </c>
      <c r="J66" s="10">
        <v>0.3</v>
      </c>
      <c r="M66" s="29">
        <v>-4.0000000000000002E-4</v>
      </c>
      <c r="N66" s="29">
        <v>-4.0000000000000002E-4</v>
      </c>
      <c r="O66" s="29">
        <v>-2.0000000000000001E-4</v>
      </c>
      <c r="P66" s="29">
        <v>-6.1999999999999998E-3</v>
      </c>
      <c r="Q66" s="29">
        <v>-5.1999999999999998E-3</v>
      </c>
      <c r="R66" s="29">
        <v>-4.1000000000000003E-3</v>
      </c>
      <c r="S66" s="29">
        <v>-3.0999999999999999E-3</v>
      </c>
      <c r="V66" s="27">
        <v>0.3</v>
      </c>
      <c r="W66" s="27">
        <v>-0.2</v>
      </c>
      <c r="X66" s="27">
        <v>0.1</v>
      </c>
      <c r="Y66" s="27">
        <v>0.2006</v>
      </c>
      <c r="Z66" s="27">
        <v>0.10050000000000001</v>
      </c>
      <c r="AA66" s="27">
        <v>-9.9599999999999994E-2</v>
      </c>
      <c r="AB66" s="27">
        <v>0.30030000000000001</v>
      </c>
    </row>
    <row r="67" spans="2:31" x14ac:dyDescent="0.2">
      <c r="B67" s="10" t="s">
        <v>233</v>
      </c>
      <c r="D67" s="10">
        <v>-0.1</v>
      </c>
      <c r="E67" s="10">
        <v>0.2</v>
      </c>
      <c r="F67" s="10">
        <v>0.3</v>
      </c>
      <c r="G67" s="10">
        <v>0.1</v>
      </c>
      <c r="H67" s="10">
        <v>-0.2</v>
      </c>
      <c r="I67" s="10">
        <v>0.2</v>
      </c>
      <c r="J67" s="10">
        <v>0.1</v>
      </c>
      <c r="M67" s="29">
        <v>1E-4</v>
      </c>
      <c r="N67" s="29">
        <v>1E-4</v>
      </c>
      <c r="O67" s="29">
        <v>1E-4</v>
      </c>
      <c r="P67" s="29">
        <v>2.0999999999999999E-3</v>
      </c>
      <c r="Q67" s="29">
        <v>1.8E-3</v>
      </c>
      <c r="R67" s="29">
        <v>1.4E-3</v>
      </c>
      <c r="S67" s="29">
        <v>1.1000000000000001E-3</v>
      </c>
      <c r="V67" s="27">
        <v>-0.1</v>
      </c>
      <c r="W67" s="27">
        <v>0.2</v>
      </c>
      <c r="X67" s="27">
        <v>0.3</v>
      </c>
      <c r="Y67" s="27">
        <v>9.98E-2</v>
      </c>
      <c r="Z67" s="27">
        <v>-0.20019999999999999</v>
      </c>
      <c r="AA67" s="27">
        <v>0.19989999999999999</v>
      </c>
      <c r="AB67" s="27">
        <v>9.9900000000000003E-2</v>
      </c>
    </row>
    <row r="68" spans="2:31" x14ac:dyDescent="0.2">
      <c r="B68" s="10" t="s">
        <v>234</v>
      </c>
      <c r="D68" s="10">
        <v>0.2</v>
      </c>
      <c r="E68" s="10">
        <v>0.1</v>
      </c>
      <c r="F68" s="10">
        <v>-0.1</v>
      </c>
      <c r="G68" s="10">
        <v>0.3</v>
      </c>
      <c r="H68" s="10">
        <v>0.2</v>
      </c>
      <c r="I68" s="10">
        <v>0.1</v>
      </c>
      <c r="J68" s="10">
        <v>-0.2</v>
      </c>
      <c r="M68" s="29">
        <v>1E-4</v>
      </c>
      <c r="N68" s="29">
        <v>1E-4</v>
      </c>
      <c r="O68" s="29">
        <v>0</v>
      </c>
      <c r="P68" s="29">
        <v>8.0000000000000004E-4</v>
      </c>
      <c r="Q68" s="29">
        <v>6.9999999999999999E-4</v>
      </c>
      <c r="R68" s="29">
        <v>5.0000000000000001E-4</v>
      </c>
      <c r="S68" s="29">
        <v>4.0000000000000002E-4</v>
      </c>
      <c r="V68" s="27">
        <v>0.2</v>
      </c>
      <c r="W68" s="27">
        <v>0.1</v>
      </c>
      <c r="X68" s="27">
        <v>-0.1</v>
      </c>
      <c r="Y68" s="27">
        <v>0.2999</v>
      </c>
      <c r="Z68" s="27">
        <v>0.19989999999999999</v>
      </c>
      <c r="AA68" s="27">
        <v>9.9900000000000003E-2</v>
      </c>
      <c r="AB68" s="27">
        <v>-0.2</v>
      </c>
    </row>
    <row r="70" spans="2:31" x14ac:dyDescent="0.2">
      <c r="B70" s="10" t="s">
        <v>235</v>
      </c>
      <c r="D70" s="10">
        <v>0</v>
      </c>
      <c r="E70" s="10">
        <v>0</v>
      </c>
      <c r="F70" s="10">
        <v>0</v>
      </c>
      <c r="M70" s="29">
        <v>-1.03E-2</v>
      </c>
      <c r="N70" s="29">
        <v>3.5000000000000001E-3</v>
      </c>
      <c r="O70" s="29">
        <v>1.2999999999999999E-3</v>
      </c>
      <c r="V70" s="27">
        <v>1E-3</v>
      </c>
      <c r="W70" s="27">
        <v>-4.0000000000000002E-4</v>
      </c>
      <c r="X70" s="27">
        <v>-1E-4</v>
      </c>
    </row>
    <row r="73" spans="2:31" x14ac:dyDescent="0.2">
      <c r="B73" s="40" t="s">
        <v>236</v>
      </c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3"/>
    </row>
    <row r="75" spans="2:31" x14ac:dyDescent="0.2">
      <c r="B75" s="14"/>
      <c r="D75" s="40" t="s">
        <v>197</v>
      </c>
      <c r="E75" s="32"/>
      <c r="F75" s="32"/>
      <c r="G75" s="32"/>
      <c r="H75" s="32"/>
      <c r="I75" s="32"/>
      <c r="J75" s="32"/>
      <c r="K75" s="33"/>
      <c r="M75" s="47" t="s">
        <v>198</v>
      </c>
      <c r="N75" s="32"/>
      <c r="O75" s="32"/>
      <c r="P75" s="32"/>
      <c r="Q75" s="32"/>
      <c r="R75" s="32"/>
      <c r="S75" s="32"/>
      <c r="T75" s="33"/>
      <c r="V75" s="45" t="s">
        <v>199</v>
      </c>
      <c r="W75" s="32"/>
      <c r="X75" s="32"/>
      <c r="Y75" s="32"/>
      <c r="Z75" s="32"/>
      <c r="AA75" s="32"/>
      <c r="AB75" s="32"/>
      <c r="AC75" s="33"/>
    </row>
    <row r="76" spans="2:31" x14ac:dyDescent="0.2">
      <c r="D76" s="14" t="s">
        <v>237</v>
      </c>
      <c r="E76" s="14" t="s">
        <v>238</v>
      </c>
      <c r="F76" s="14" t="s">
        <v>239</v>
      </c>
      <c r="G76" s="14" t="s">
        <v>54</v>
      </c>
      <c r="H76" s="14" t="s">
        <v>55</v>
      </c>
      <c r="I76" s="14" t="s">
        <v>56</v>
      </c>
      <c r="J76" s="14" t="s">
        <v>57</v>
      </c>
      <c r="M76" s="14" t="s">
        <v>237</v>
      </c>
      <c r="N76" s="14" t="s">
        <v>238</v>
      </c>
      <c r="O76" s="14" t="s">
        <v>239</v>
      </c>
      <c r="P76" s="14" t="s">
        <v>54</v>
      </c>
      <c r="Q76" s="14" t="s">
        <v>55</v>
      </c>
      <c r="R76" s="14" t="s">
        <v>56</v>
      </c>
      <c r="S76" s="14" t="s">
        <v>57</v>
      </c>
      <c r="V76" s="14" t="s">
        <v>237</v>
      </c>
      <c r="W76" s="14" t="s">
        <v>238</v>
      </c>
      <c r="X76" s="14" t="s">
        <v>239</v>
      </c>
      <c r="Y76" s="14" t="s">
        <v>54</v>
      </c>
      <c r="Z76" s="14" t="s">
        <v>55</v>
      </c>
      <c r="AA76" s="14" t="s">
        <v>56</v>
      </c>
      <c r="AB76" s="14" t="s">
        <v>57</v>
      </c>
    </row>
    <row r="77" spans="2:31" x14ac:dyDescent="0.2">
      <c r="B77" s="12" t="s">
        <v>240</v>
      </c>
      <c r="D77" s="12">
        <v>0.1</v>
      </c>
      <c r="E77" s="12">
        <v>0.2</v>
      </c>
      <c r="F77" s="12">
        <v>-0.1</v>
      </c>
      <c r="G77" s="12">
        <v>0.2</v>
      </c>
      <c r="H77" s="12">
        <v>-0.1</v>
      </c>
      <c r="I77" s="12">
        <v>0.3</v>
      </c>
      <c r="J77" s="12">
        <v>0.1</v>
      </c>
      <c r="M77" s="29">
        <v>-2.8E-3</v>
      </c>
      <c r="N77" s="29">
        <v>-2.8E-3</v>
      </c>
      <c r="O77" s="29">
        <v>-1E-3</v>
      </c>
      <c r="P77" s="29">
        <v>-7.3700000000000002E-2</v>
      </c>
      <c r="Q77" s="29">
        <v>-6.1400000000000003E-2</v>
      </c>
      <c r="R77" s="29">
        <v>-4.9099999999999998E-2</v>
      </c>
      <c r="S77" s="29">
        <v>-3.6799999999999999E-2</v>
      </c>
      <c r="V77" s="27">
        <v>0.1003</v>
      </c>
      <c r="W77" s="27">
        <v>0.20030000000000001</v>
      </c>
      <c r="X77" s="27">
        <v>-9.9900000000000003E-2</v>
      </c>
      <c r="Y77" s="27">
        <v>0.2074</v>
      </c>
      <c r="Z77" s="27">
        <v>-9.3899999999999997E-2</v>
      </c>
      <c r="AA77" s="27">
        <v>0.3049</v>
      </c>
      <c r="AB77" s="27">
        <v>0.1037</v>
      </c>
    </row>
    <row r="78" spans="2:31" x14ac:dyDescent="0.2">
      <c r="B78" s="12" t="s">
        <v>241</v>
      </c>
      <c r="D78" s="12">
        <v>0.2</v>
      </c>
      <c r="E78" s="12">
        <v>-0.1</v>
      </c>
      <c r="F78" s="12">
        <v>0.2</v>
      </c>
      <c r="G78" s="12">
        <v>0.1</v>
      </c>
      <c r="H78" s="12">
        <v>0.2</v>
      </c>
      <c r="I78" s="12">
        <v>-0.2</v>
      </c>
      <c r="J78" s="12">
        <v>0.2</v>
      </c>
      <c r="M78" s="29">
        <v>1.6000000000000001E-3</v>
      </c>
      <c r="N78" s="29">
        <v>1.6000000000000001E-3</v>
      </c>
      <c r="O78" s="29">
        <v>5.0000000000000001E-4</v>
      </c>
      <c r="P78" s="29">
        <v>4.2599999999999999E-2</v>
      </c>
      <c r="Q78" s="29">
        <v>3.5499999999999997E-2</v>
      </c>
      <c r="R78" s="29">
        <v>2.8400000000000002E-2</v>
      </c>
      <c r="S78" s="29">
        <v>2.1299999999999999E-2</v>
      </c>
      <c r="V78" s="27">
        <v>0.19980000000000001</v>
      </c>
      <c r="W78" s="27">
        <v>-0.1002</v>
      </c>
      <c r="X78" s="27">
        <v>0.19989999999999999</v>
      </c>
      <c r="Y78" s="27">
        <v>9.5699999999999993E-2</v>
      </c>
      <c r="Z78" s="27">
        <v>0.19650000000000001</v>
      </c>
      <c r="AA78" s="27">
        <v>-0.20280000000000001</v>
      </c>
      <c r="AB78" s="27">
        <v>0.19789999999999999</v>
      </c>
    </row>
    <row r="79" spans="2:31" x14ac:dyDescent="0.2">
      <c r="B79" s="12" t="s">
        <v>242</v>
      </c>
      <c r="D79" s="12">
        <v>-0.1</v>
      </c>
      <c r="E79" s="12">
        <v>0.3</v>
      </c>
      <c r="F79" s="12">
        <v>0.1</v>
      </c>
      <c r="G79" s="12">
        <v>-0.2</v>
      </c>
      <c r="H79" s="12">
        <v>0.1</v>
      </c>
      <c r="I79" s="12">
        <v>0.2</v>
      </c>
      <c r="J79" s="12">
        <v>-0.1</v>
      </c>
      <c r="M79" s="29">
        <v>-2.3999999999999998E-3</v>
      </c>
      <c r="N79" s="29">
        <v>-2.3999999999999998E-3</v>
      </c>
      <c r="O79" s="29">
        <v>-8.0000000000000004E-4</v>
      </c>
      <c r="P79" s="29">
        <v>-6.3200000000000006E-2</v>
      </c>
      <c r="Q79" s="29">
        <v>-5.2699999999999997E-2</v>
      </c>
      <c r="R79" s="29">
        <v>-4.2200000000000001E-2</v>
      </c>
      <c r="S79" s="29">
        <v>-3.1600000000000003E-2</v>
      </c>
      <c r="V79" s="27">
        <v>-9.98E-2</v>
      </c>
      <c r="W79" s="27">
        <v>0.30020000000000002</v>
      </c>
      <c r="X79" s="27">
        <v>0.10009999999999999</v>
      </c>
      <c r="Y79" s="27">
        <v>-0.19370000000000001</v>
      </c>
      <c r="Z79" s="27">
        <v>0.1053</v>
      </c>
      <c r="AA79" s="27">
        <v>0.20419999999999999</v>
      </c>
      <c r="AB79" s="27">
        <v>-9.6799999999999997E-2</v>
      </c>
    </row>
    <row r="81" spans="2:31" x14ac:dyDescent="0.2">
      <c r="B81" s="12" t="s">
        <v>243</v>
      </c>
      <c r="D81" s="12">
        <v>0</v>
      </c>
      <c r="E81" s="12">
        <v>0</v>
      </c>
      <c r="F81" s="12">
        <v>0</v>
      </c>
      <c r="M81" s="29">
        <v>-0.12280000000000001</v>
      </c>
      <c r="N81" s="29">
        <v>7.0900000000000005E-2</v>
      </c>
      <c r="O81" s="29">
        <v>-0.10539999999999999</v>
      </c>
      <c r="V81" s="27">
        <v>1.23E-2</v>
      </c>
      <c r="W81" s="27">
        <v>-7.1000000000000004E-3</v>
      </c>
      <c r="X81" s="27">
        <v>1.0500000000000001E-2</v>
      </c>
    </row>
    <row r="84" spans="2:31" x14ac:dyDescent="0.2">
      <c r="B84" s="31" t="s">
        <v>244</v>
      </c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3"/>
    </row>
    <row r="86" spans="2:31" x14ac:dyDescent="0.2">
      <c r="B86" t="s">
        <v>245</v>
      </c>
    </row>
    <row r="87" spans="2:31" x14ac:dyDescent="0.2">
      <c r="B87" t="s">
        <v>246</v>
      </c>
    </row>
    <row r="89" spans="2:31" x14ac:dyDescent="0.2">
      <c r="B89" t="s">
        <v>247</v>
      </c>
    </row>
    <row r="90" spans="2:31" x14ac:dyDescent="0.2">
      <c r="B90" t="s">
        <v>248</v>
      </c>
    </row>
    <row r="92" spans="2:31" x14ac:dyDescent="0.2">
      <c r="B92" t="s">
        <v>249</v>
      </c>
    </row>
    <row r="93" spans="2:31" x14ac:dyDescent="0.2">
      <c r="B93" t="s">
        <v>250</v>
      </c>
    </row>
  </sheetData>
  <mergeCells count="19">
    <mergeCell ref="A1:J1"/>
    <mergeCell ref="D53:K53"/>
    <mergeCell ref="B6:AE6"/>
    <mergeCell ref="B51:AE51"/>
    <mergeCell ref="B26:AE26"/>
    <mergeCell ref="V53:AC53"/>
    <mergeCell ref="B18:AE18"/>
    <mergeCell ref="B2:AH2"/>
    <mergeCell ref="B73:AE73"/>
    <mergeCell ref="B44:AE44"/>
    <mergeCell ref="B84:AE84"/>
    <mergeCell ref="D75:K75"/>
    <mergeCell ref="M75:T75"/>
    <mergeCell ref="V75:AC75"/>
    <mergeCell ref="D64:K64"/>
    <mergeCell ref="B62:AE62"/>
    <mergeCell ref="M53:T53"/>
    <mergeCell ref="M64:T64"/>
    <mergeCell ref="V64:AC6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"/>
  <sheetViews>
    <sheetView workbookViewId="0">
      <selection activeCell="D11" sqref="D11"/>
    </sheetView>
  </sheetViews>
  <sheetFormatPr baseColWidth="10" defaultColWidth="8.83203125" defaultRowHeight="15" x14ac:dyDescent="0.2"/>
  <cols>
    <col min="1" max="1" width="12" customWidth="1"/>
    <col min="2" max="2" width="40.6640625" customWidth="1"/>
    <col min="3" max="19" width="12" customWidth="1"/>
  </cols>
  <sheetData>
    <row r="1" spans="1:20" x14ac:dyDescent="0.2">
      <c r="A1" s="34" t="s">
        <v>251</v>
      </c>
      <c r="B1" s="35"/>
      <c r="C1" s="35"/>
      <c r="D1" s="35"/>
      <c r="E1" s="35"/>
      <c r="F1" s="35"/>
      <c r="G1" s="35"/>
      <c r="H1" s="35"/>
      <c r="I1" s="35"/>
      <c r="J1" s="35"/>
    </row>
    <row r="2" spans="1:20" x14ac:dyDescent="0.2">
      <c r="B2" s="31" t="s">
        <v>252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3"/>
    </row>
    <row r="4" spans="1:20" x14ac:dyDescent="0.2">
      <c r="B4" s="2" t="s">
        <v>40</v>
      </c>
    </row>
    <row r="6" spans="1:20" x14ac:dyDescent="0.2">
      <c r="B6" s="2" t="s">
        <v>253</v>
      </c>
    </row>
    <row r="7" spans="1:20" x14ac:dyDescent="0.2">
      <c r="B7" s="21" t="s">
        <v>254</v>
      </c>
    </row>
    <row r="8" spans="1:20" x14ac:dyDescent="0.2">
      <c r="B8" s="22" t="s">
        <v>255</v>
      </c>
    </row>
    <row r="9" spans="1:20" x14ac:dyDescent="0.2">
      <c r="B9" s="23" t="s">
        <v>256</v>
      </c>
    </row>
    <row r="10" spans="1:20" x14ac:dyDescent="0.2">
      <c r="B10" s="24" t="s">
        <v>257</v>
      </c>
    </row>
    <row r="12" spans="1:20" x14ac:dyDescent="0.2">
      <c r="B12" s="2" t="s">
        <v>258</v>
      </c>
    </row>
    <row r="13" spans="1:20" x14ac:dyDescent="0.2">
      <c r="B13" s="21" t="s">
        <v>259</v>
      </c>
    </row>
    <row r="14" spans="1:20" x14ac:dyDescent="0.2">
      <c r="B14" s="22" t="s">
        <v>260</v>
      </c>
    </row>
    <row r="15" spans="1:20" x14ac:dyDescent="0.2">
      <c r="B15" s="23" t="s">
        <v>261</v>
      </c>
    </row>
    <row r="16" spans="1:20" x14ac:dyDescent="0.2">
      <c r="B16" s="24" t="s">
        <v>262</v>
      </c>
    </row>
    <row r="18" spans="2:2" x14ac:dyDescent="0.2">
      <c r="B18" s="2" t="s">
        <v>263</v>
      </c>
    </row>
    <row r="19" spans="2:2" x14ac:dyDescent="0.2">
      <c r="B19" s="21" t="s">
        <v>264</v>
      </c>
    </row>
    <row r="20" spans="2:2" x14ac:dyDescent="0.2">
      <c r="B20" s="22" t="s">
        <v>265</v>
      </c>
    </row>
    <row r="21" spans="2:2" x14ac:dyDescent="0.2">
      <c r="B21" s="23" t="s">
        <v>266</v>
      </c>
    </row>
    <row r="22" spans="2:2" x14ac:dyDescent="0.2">
      <c r="B22" s="24" t="s">
        <v>267</v>
      </c>
    </row>
    <row r="24" spans="2:2" x14ac:dyDescent="0.2">
      <c r="B24" s="2" t="s">
        <v>268</v>
      </c>
    </row>
    <row r="25" spans="2:2" x14ac:dyDescent="0.2">
      <c r="B25" s="21" t="s">
        <v>269</v>
      </c>
    </row>
    <row r="26" spans="2:2" x14ac:dyDescent="0.2">
      <c r="B26" s="22" t="s">
        <v>270</v>
      </c>
    </row>
    <row r="27" spans="2:2" x14ac:dyDescent="0.2">
      <c r="B27" s="23" t="s">
        <v>271</v>
      </c>
    </row>
    <row r="28" spans="2:2" x14ac:dyDescent="0.2">
      <c r="B28" s="24" t="s">
        <v>272</v>
      </c>
    </row>
    <row r="30" spans="2:2" x14ac:dyDescent="0.2">
      <c r="B30" s="7" t="s">
        <v>273</v>
      </c>
    </row>
    <row r="31" spans="2:2" x14ac:dyDescent="0.2">
      <c r="B31" s="19" t="s">
        <v>274</v>
      </c>
    </row>
    <row r="32" spans="2:2" x14ac:dyDescent="0.2">
      <c r="B32" s="25" t="s">
        <v>275</v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Parameters</vt:lpstr>
      <vt:lpstr>Forward</vt:lpstr>
      <vt:lpstr>Gate_Visualization</vt:lpstr>
      <vt:lpstr>GRU_vs_LSTM</vt:lpstr>
      <vt:lpstr>Backward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2026-01-20T06:32:38Z</dcterms:created>
  <dcterms:modified xsi:type="dcterms:W3CDTF">2026-02-11T00:21:00Z</dcterms:modified>
</cp:coreProperties>
</file>