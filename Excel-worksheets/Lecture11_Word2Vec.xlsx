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ihwankim/Downloads/Excel-worksheets 2/"/>
    </mc:Choice>
  </mc:AlternateContent>
  <xr:revisionPtr revIDLastSave="0" documentId="13_ncr:1_{B0AACD62-902C-B94D-87C5-E891EC0FA0AF}" xr6:coauthVersionLast="47" xr6:coauthVersionMax="47" xr10:uidLastSave="{00000000-0000-0000-0000-000000000000}"/>
  <bookViews>
    <workbookView xWindow="4300" yWindow="680" windowWidth="29900" windowHeight="19580" activeTab="5" xr2:uid="{00000000-000D-0000-FFFF-FFFF00000000}"/>
  </bookViews>
  <sheets>
    <sheet name="Overview" sheetId="1" r:id="rId1"/>
    <sheet name="Embeddings" sheetId="2" r:id="rId2"/>
    <sheet name="Skipgram_Forward" sheetId="3" r:id="rId3"/>
    <sheet name="CBOW_Forward" sheetId="4" r:id="rId4"/>
    <sheet name="Negative_Sampling" sheetId="5" r:id="rId5"/>
    <sheet name="Backward" sheetId="6" r:id="rId6"/>
    <sheet name="Answer_Ke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4" l="1"/>
  <c r="C17" i="4"/>
  <c r="J16" i="4"/>
  <c r="C16" i="4"/>
  <c r="J15" i="4"/>
  <c r="C15" i="4"/>
</calcChain>
</file>

<file path=xl/sharedStrings.xml><?xml version="1.0" encoding="utf-8"?>
<sst xmlns="http://schemas.openxmlformats.org/spreadsheetml/2006/main" count="253" uniqueCount="173">
  <si>
    <t>[Description] Word2Vec learns word embeddings by predicting context words (Skip-gram) or center word (CBOW).</t>
  </si>
  <si>
    <t>Word2Vec: Skip-gram &amp; CBOW</t>
  </si>
  <si>
    <t>Word2Vec is a method to represent words as dense vectors</t>
  </si>
  <si>
    <t>═══ Two Models ═══</t>
  </si>
  <si>
    <t>1. Skip-gram</t>
  </si>
  <si>
    <t xml:space="preserve">   Center word → Predict context words</t>
  </si>
  <si>
    <t xml:space="preserve">   Input: 'cat'  →  Output: 'the', 'sat'</t>
  </si>
  <si>
    <t>2. CBOW (Continuous Bag of Words)</t>
  </si>
  <si>
    <t xml:space="preserve">   Context words → Predict center word</t>
  </si>
  <si>
    <t xml:space="preserve">   Input: 'the', 'sat'  →  Output: 'cat'</t>
  </si>
  <si>
    <t>═══ Architecture ═══</t>
  </si>
  <si>
    <t>One-Hot</t>
  </si>
  <si>
    <t>→</t>
  </si>
  <si>
    <t>W_in (lookup)</t>
  </si>
  <si>
    <t>Hidden</t>
  </si>
  <si>
    <t>W_out</t>
  </si>
  <si>
    <t>Softmax</t>
  </si>
  <si>
    <t>(6)</t>
  </si>
  <si>
    <t>(6×3)</t>
  </si>
  <si>
    <t>(3)</t>
  </si>
  <si>
    <t>(3×6)</t>
  </si>
  <si>
    <t>═══ Parameters ═══</t>
  </si>
  <si>
    <t>Vocabulary Size: 6</t>
  </si>
  <si>
    <t>Embedding Dimension: 3</t>
  </si>
  <si>
    <t>Window Size: 1</t>
  </si>
  <si>
    <t>Learning Rate: 0.1</t>
  </si>
  <si>
    <t>Vocabulary:</t>
  </si>
  <si>
    <t>0: 'the'</t>
  </si>
  <si>
    <t>1: 'cat'</t>
  </si>
  <si>
    <t>2: 'sat'</t>
  </si>
  <si>
    <t>3: 'on'</t>
  </si>
  <si>
    <t>4: 'mat'</t>
  </si>
  <si>
    <t>5: 'dog'</t>
  </si>
  <si>
    <t>Sample Sentence:</t>
  </si>
  <si>
    <t>the cat sat on the mat</t>
  </si>
  <si>
    <t>[Description] Word embeddings: Dense vector representations where similar words have similar vectors (cosine similarity).</t>
  </si>
  <si>
    <t>Word Embeddings (W_in) &amp; Output Embeddings (W_out)</t>
  </si>
  <si>
    <t>═══ W_in: Input Embeddings (vocab×embed_dim) ═══</t>
  </si>
  <si>
    <t>Word</t>
  </si>
  <si>
    <t>Index</t>
  </si>
  <si>
    <t>dim0</t>
  </si>
  <si>
    <t>dim1</t>
  </si>
  <si>
    <t>dim2</t>
  </si>
  <si>
    <t>the</t>
  </si>
  <si>
    <t>cat</t>
  </si>
  <si>
    <t>sat</t>
  </si>
  <si>
    <t>on</t>
  </si>
  <si>
    <t>mat</t>
  </si>
  <si>
    <t>dog</t>
  </si>
  <si>
    <t>═══ W_out: Output Embeddings (vocab×embed_dim) ═══</t>
  </si>
  <si>
    <t>W_in: Convert center word to vector (embedding lookup)</t>
  </si>
  <si>
    <t>W_out: For calculating similarity with output words</t>
  </si>
  <si>
    <t>Use W_in as final word embedding after training</t>
  </si>
  <si>
    <t>[Description] Skip-gram: Given center word, predict surrounding context words. Good for rare words.</t>
  </si>
  <si>
    <t>Skip-gram Forward Pass: Center Word → Context Words</t>
  </si>
  <si>
    <t>Center Word: 'cat' (index=1)</t>
  </si>
  <si>
    <t>Context Words: ['the', 'sat'] (window_size=1)</t>
  </si>
  <si>
    <t>═══ Step 1: One-Hot Encoding ═══</t>
  </si>
  <si>
    <t>x = one_hot('cat'):</t>
  </si>
  <si>
    <t>═══ Step 2: Embedding Lookup (h = W_in[center_idx]) ═══</t>
  </si>
  <si>
    <t>h = W_in[1] = embedding('cat'):</t>
  </si>
  <si>
    <t>h[0]</t>
  </si>
  <si>
    <t>h[1]</t>
  </si>
  <si>
    <t>h[2]</t>
  </si>
  <si>
    <t>═══ Step 3: Score Calculation (score = W_out @ h) ═══</t>
  </si>
  <si>
    <t>score[i] = W_out[i] · h (dot product)</t>
  </si>
  <si>
    <t>W_out[i]</t>
  </si>
  <si>
    <t>· h =</t>
  </si>
  <si>
    <t>Score</t>
  </si>
  <si>
    <t>[-0.2, 0.1, 0.2]</t>
  </si>
  <si>
    <t>[0.3, -0.1, 0.4]</t>
  </si>
  <si>
    <t>[0.1, 0.2, -0.2]</t>
  </si>
  <si>
    <t>[-0.1, 0.3, 0.1]</t>
  </si>
  <si>
    <t>[0.2, -0.3, 0.3]</t>
  </si>
  <si>
    <t>[0.4, 0.2, -0.1]</t>
  </si>
  <si>
    <t>═══ Step 4: Softmax (probability distribution) ═══</t>
  </si>
  <si>
    <t>P(word|center) = softmax(scores)</t>
  </si>
  <si>
    <t>exp(score)</t>
  </si>
  <si>
    <t>P(word|cat)</t>
  </si>
  <si>
    <t>← Target</t>
  </si>
  <si>
    <t>Sum of exp(scores) = 5.0233</t>
  </si>
  <si>
    <t>═══ Step 5: Cross-Entropy Loss ═══</t>
  </si>
  <si>
    <t>L('the') = -log(P('the'|'cat'))</t>
  </si>
  <si>
    <t xml:space="preserve">         = -log(0.1446) = 1.9341</t>
  </si>
  <si>
    <t>L('sat') = -log(P('sat'|'cat'))</t>
  </si>
  <si>
    <t xml:space="preserve">         = -log(0.1801) = 1.7141</t>
  </si>
  <si>
    <t>Average Loss = 1.8241</t>
  </si>
  <si>
    <t>[Description] CBOW (Continuous Bag of Words): Given context words, predict center word. Faster training.</t>
  </si>
  <si>
    <t>CBOW Forward Pass: Context Words → Center Word</t>
  </si>
  <si>
    <t>Context Words: ['the', 'sat']</t>
  </si>
  <si>
    <t>Target Center Word: 'cat' (index=1)</t>
  </si>
  <si>
    <t>═══ Step 1: Get Context Embeddings ═══</t>
  </si>
  <si>
    <t>embed('the') = W_in[0]:</t>
  </si>
  <si>
    <t>embed('sat') = W_in[2]:</t>
  </si>
  <si>
    <t>═══ Step 2: Average Context Embeddings ═══</t>
  </si>
  <si>
    <t>h = mean(context_embeddings):</t>
  </si>
  <si>
    <t>═══ Step 3: Score Calculation ═══</t>
  </si>
  <si>
    <t>═══ Step 4: Softmax &amp; Loss ═══</t>
  </si>
  <si>
    <t>P(word|context)</t>
  </si>
  <si>
    <t>Loss = -log(P('cat'|context))</t>
  </si>
  <si>
    <t xml:space="preserve">     = -log(0.175) = 1.743</t>
  </si>
  <si>
    <t>[Description] Negative sampling: Efficient approximation of softmax by sampling negative examples instead of full vocabulary.</t>
  </si>
  <si>
    <t>Negative Sampling: Efficient Training Alternative</t>
  </si>
  <si>
    <t>Problem: Softmax calculates over entire vocabulary → O(V) cost</t>
  </si>
  <si>
    <t>Solution: Negative Sampling - Use only some negative samples</t>
  </si>
  <si>
    <t>═══ Example: Skip-gram with Negative Sampling ═══</t>
  </si>
  <si>
    <t>Center: 'cat'  →  Positive: 'the'</t>
  </si>
  <si>
    <t>Negative Samples: ['dog', 'mat']</t>
  </si>
  <si>
    <t>═══ Binary Classification (Sigmoid) ═══</t>
  </si>
  <si>
    <t>P(positive) = σ(W_out[pos] · h)</t>
  </si>
  <si>
    <t>P(negative) = 1 - σ(W_out[neg] · h)</t>
  </si>
  <si>
    <t>Positive ('the'):</t>
  </si>
  <si>
    <t>score = W_out[0] · h = -0.1</t>
  </si>
  <si>
    <t>P = σ(-0.1) = 0.475</t>
  </si>
  <si>
    <t>Negatives:</t>
  </si>
  <si>
    <t>'dog': score=0.22, σ=0.5548, (1-σ)=0.4452</t>
  </si>
  <si>
    <t>'mat': score=-0.04, σ=0.49, (1-σ)=0.51</t>
  </si>
  <si>
    <t>═══ Negative Sampling Loss ═══</t>
  </si>
  <si>
    <t>L = -log(σ(score_pos)) - Σ log(1 - σ(score_neg))</t>
  </si>
  <si>
    <t>L_pos = -log(0.475) = 0.7444</t>
  </si>
  <si>
    <t>L_neg = 1.4825</t>
  </si>
  <si>
    <t>Total Loss = 2.2269</t>
  </si>
  <si>
    <t>═══ Softmax vs Negative Sampling ═══</t>
  </si>
  <si>
    <t>Negative Sampling</t>
  </si>
  <si>
    <t>O(6) per update</t>
  </si>
  <si>
    <t>O(k+1) per update</t>
  </si>
  <si>
    <t>Exact probability</t>
  </si>
  <si>
    <t>Approximation (k negatives)</t>
  </si>
  <si>
    <t>[Description] Word2Vec backprop: Update embeddings for positive pairs (increase similarity) and negative pairs (decrease).</t>
  </si>
  <si>
    <t>Word2Vec Backward Pass: Original → Gradient → Updated</t>
  </si>
  <si>
    <t>Using Skip-gram: center='cat', target='the'</t>
  </si>
  <si>
    <t>═══ 1. Output Gradient (dL/d_scores) ═══</t>
  </si>
  <si>
    <t>dL/d_score[i] = P(word_i|center) - 1(i=target)</t>
  </si>
  <si>
    <t>P(word)</t>
  </si>
  <si>
    <t>Target?</t>
  </si>
  <si>
    <t>dL/d_score</t>
  </si>
  <si>
    <t>═══ 2. W_out Update (Output Embeddings) ═══</t>
  </si>
  <si>
    <t>dL/dW_out[i][j] = dL/d_score[i] × h[j]</t>
  </si>
  <si>
    <t>W_out['the'] (idx=0)</t>
  </si>
  <si>
    <t>Original</t>
  </si>
  <si>
    <t>Gradient</t>
  </si>
  <si>
    <t>Updated</t>
  </si>
  <si>
    <t>W_out['dog'] (idx=5)</t>
  </si>
  <si>
    <t>═══ 3. W_in Update (Input Embedding - Center Word Only) ═══</t>
  </si>
  <si>
    <t>dL/dh = Σ_i (dL/d_score[i] × W_out[i])</t>
  </si>
  <si>
    <t>dL/dW_in[center] = dL/dh (only center word updated)</t>
  </si>
  <si>
    <t>W_in['cat'] (idx=1)</t>
  </si>
  <si>
    <t>═══ Word2Vec Gradient Flow Summary ═══</t>
  </si>
  <si>
    <t>1. Score calculation: score[i] = W_out[i] · h</t>
  </si>
  <si>
    <t>2. Softmax: P = softmax(scores)</t>
  </si>
  <si>
    <t>3. Loss: L = -log(P[target])</t>
  </si>
  <si>
    <t>4. dL/d_score = P - one_hot(target)</t>
  </si>
  <si>
    <t>5. dL/dW_out[i] = dL/d_score[i] × h^T</t>
  </si>
  <si>
    <t>6. dL/dh = W_out^T @ dL/d_score</t>
  </si>
  <si>
    <t>7. dL/dW_in[center] = dL/dh</t>
  </si>
  <si>
    <t>※ W_in: Only center word updated</t>
  </si>
  <si>
    <t>※ W_out: All words updated</t>
  </si>
  <si>
    <t>[Description] Reference solutions for self-checking your calculations.</t>
  </si>
  <si>
    <t>Answer Key</t>
  </si>
  <si>
    <t>═══ Skip-gram (center='cat' → context='the','sat') ═══</t>
  </si>
  <si>
    <t>h (embedding of 'cat'): [0.4, 0.2, -0.2]</t>
  </si>
  <si>
    <t>Scores: [-0.1, 0.02, 0.12, -0.0, -0.04, 0.22]</t>
  </si>
  <si>
    <t>Probs: [0.1446, 0.163, 0.1801, 0.1598, 0.1535, 0.1991]</t>
  </si>
  <si>
    <t>Avg Loss: 1.8241</t>
  </si>
  <si>
    <t>═══ CBOW (context='the','sat' → center='cat') ═══</t>
  </si>
  <si>
    <t>h_cbow (mean of context): [0.05, 0.1, 0.2]</t>
  </si>
  <si>
    <t>Scores: [0.04, 0.085, -0.015, 0.045, 0.04, 0.02]</t>
  </si>
  <si>
    <t>Probs: [0.1673, 0.175, 0.1583, 0.1681, 0.1673, 0.164]</t>
  </si>
  <si>
    <t>Loss: 1.743</t>
  </si>
  <si>
    <t>═══ Gradients (Skip-gram, target='the') ═══</t>
  </si>
  <si>
    <t>dL/dh: [0.3323, -0.0241, -0.0998]</t>
  </si>
  <si>
    <t>W_in['cat'] updated: [0.3668, 0.2024, -0.19]</t>
  </si>
  <si>
    <t>W_out['the'] updated: [-0.1658, 0.1171, 0.1829]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</si>
</sst>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0"/>
      <color rgb="FF50505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4DFEC"/>
        <bgColor rgb="FFE4DFEC"/>
      </patternFill>
    </fill>
    <fill>
      <patternFill patternType="solid">
        <fgColor rgb="FFFFD700"/>
        <bgColor rgb="FFFFD700"/>
      </patternFill>
    </fill>
    <fill>
      <patternFill patternType="solid">
        <fgColor rgb="FFFFFACD"/>
        <bgColor rgb="FFFFFACD"/>
      </patternFill>
    </fill>
    <fill>
      <patternFill patternType="solid">
        <fgColor rgb="FF87CEEB"/>
        <bgColor rgb="FF87CEEB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rgb="FFFDE9D9"/>
        <bgColor rgb="FFFDE9D9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0F8FF"/>
        <bgColor rgb="FFF0F8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0" xfId="0" applyFill="1"/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9" borderId="0" xfId="0" applyFill="1"/>
    <xf numFmtId="0" fontId="0" fillId="6" borderId="0" xfId="0" applyFill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0" borderId="0" xfId="0" applyFill="1"/>
    <xf numFmtId="0" fontId="0" fillId="4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8" borderId="0" xfId="0" applyFill="1"/>
    <xf numFmtId="0" fontId="0" fillId="3" borderId="0" xfId="0" applyFill="1"/>
    <xf numFmtId="0" fontId="0" fillId="11" borderId="0" xfId="0" applyFill="1"/>
    <xf numFmtId="0" fontId="2" fillId="12" borderId="0" xfId="0" applyFont="1" applyFill="1" applyAlignment="1">
      <alignment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workbookViewId="0">
      <selection sqref="A1:J1"/>
    </sheetView>
  </sheetViews>
  <sheetFormatPr baseColWidth="10" defaultColWidth="8.83203125" defaultRowHeight="15" x14ac:dyDescent="0.2"/>
  <cols>
    <col min="1" max="1" width="8" customWidth="1"/>
    <col min="2" max="2" width="44" customWidth="1"/>
    <col min="3" max="19" width="8" customWidth="1"/>
  </cols>
  <sheetData>
    <row r="1" spans="1:22" x14ac:dyDescent="0.2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22" x14ac:dyDescent="0.2">
      <c r="B2" s="31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3"/>
    </row>
    <row r="4" spans="1:22" x14ac:dyDescent="0.2">
      <c r="B4" s="2" t="s">
        <v>2</v>
      </c>
    </row>
    <row r="6" spans="1:22" x14ac:dyDescent="0.2">
      <c r="B6" s="35" t="s">
        <v>3</v>
      </c>
      <c r="C6" s="32"/>
      <c r="D6" s="32"/>
      <c r="E6" s="32"/>
      <c r="F6" s="32"/>
      <c r="G6" s="32"/>
      <c r="H6" s="32"/>
      <c r="I6" s="32"/>
      <c r="J6" s="32"/>
      <c r="K6" s="33"/>
    </row>
    <row r="8" spans="1:22" x14ac:dyDescent="0.2">
      <c r="B8" s="4" t="s">
        <v>4</v>
      </c>
    </row>
    <row r="9" spans="1:22" x14ac:dyDescent="0.2">
      <c r="B9" s="2" t="s">
        <v>5</v>
      </c>
    </row>
    <row r="10" spans="1:22" x14ac:dyDescent="0.2">
      <c r="B10" s="5" t="s">
        <v>6</v>
      </c>
    </row>
    <row r="12" spans="1:22" x14ac:dyDescent="0.2">
      <c r="B12" s="6" t="s">
        <v>7</v>
      </c>
    </row>
    <row r="13" spans="1:22" x14ac:dyDescent="0.2">
      <c r="B13" s="2" t="s">
        <v>8</v>
      </c>
    </row>
    <row r="14" spans="1:22" x14ac:dyDescent="0.2">
      <c r="B14" s="5" t="s">
        <v>9</v>
      </c>
    </row>
    <row r="17" spans="2:14" x14ac:dyDescent="0.2">
      <c r="B17" s="34" t="s">
        <v>10</v>
      </c>
      <c r="C17" s="32"/>
      <c r="D17" s="32"/>
      <c r="E17" s="32"/>
      <c r="F17" s="32"/>
      <c r="G17" s="32"/>
      <c r="H17" s="32"/>
      <c r="I17" s="32"/>
      <c r="J17" s="32"/>
      <c r="K17" s="33"/>
    </row>
    <row r="19" spans="2:14" x14ac:dyDescent="0.2">
      <c r="B19" s="8" t="s">
        <v>11</v>
      </c>
      <c r="D19" s="9" t="s">
        <v>12</v>
      </c>
      <c r="E19" s="10" t="s">
        <v>13</v>
      </c>
      <c r="G19" s="9" t="s">
        <v>12</v>
      </c>
      <c r="H19" s="10" t="s">
        <v>14</v>
      </c>
      <c r="J19" s="9" t="s">
        <v>12</v>
      </c>
      <c r="K19" s="11" t="s">
        <v>15</v>
      </c>
      <c r="M19" s="9" t="s">
        <v>12</v>
      </c>
      <c r="N19" s="12" t="s">
        <v>16</v>
      </c>
    </row>
    <row r="20" spans="2:14" x14ac:dyDescent="0.2">
      <c r="B20" s="8" t="s">
        <v>17</v>
      </c>
      <c r="E20" s="10" t="s">
        <v>18</v>
      </c>
      <c r="H20" s="10" t="s">
        <v>19</v>
      </c>
      <c r="K20" s="11" t="s">
        <v>20</v>
      </c>
      <c r="N20" s="12" t="s">
        <v>17</v>
      </c>
    </row>
    <row r="23" spans="2:14" x14ac:dyDescent="0.2">
      <c r="B23" s="31" t="s">
        <v>21</v>
      </c>
      <c r="C23" s="32"/>
      <c r="D23" s="32"/>
      <c r="E23" s="32"/>
      <c r="F23" s="32"/>
      <c r="G23" s="32"/>
      <c r="H23" s="32"/>
      <c r="I23" s="32"/>
      <c r="J23" s="32"/>
      <c r="K23" s="33"/>
    </row>
    <row r="25" spans="2:14" x14ac:dyDescent="0.2">
      <c r="B25" s="2" t="s">
        <v>22</v>
      </c>
    </row>
    <row r="26" spans="2:14" x14ac:dyDescent="0.2">
      <c r="B26" s="2" t="s">
        <v>23</v>
      </c>
    </row>
    <row r="27" spans="2:14" x14ac:dyDescent="0.2">
      <c r="B27" s="2" t="s">
        <v>24</v>
      </c>
    </row>
    <row r="28" spans="2:14" x14ac:dyDescent="0.2">
      <c r="B28" s="2" t="s">
        <v>25</v>
      </c>
    </row>
    <row r="30" spans="2:14" x14ac:dyDescent="0.2">
      <c r="B30" s="7" t="s">
        <v>26</v>
      </c>
    </row>
    <row r="31" spans="2:14" x14ac:dyDescent="0.2">
      <c r="B31" s="8" t="s">
        <v>27</v>
      </c>
    </row>
    <row r="32" spans="2:14" x14ac:dyDescent="0.2">
      <c r="B32" s="8" t="s">
        <v>28</v>
      </c>
    </row>
    <row r="33" spans="2:2" x14ac:dyDescent="0.2">
      <c r="B33" s="8" t="s">
        <v>29</v>
      </c>
    </row>
    <row r="34" spans="2:2" x14ac:dyDescent="0.2">
      <c r="B34" s="8" t="s">
        <v>30</v>
      </c>
    </row>
    <row r="35" spans="2:2" x14ac:dyDescent="0.2">
      <c r="B35" s="8" t="s">
        <v>31</v>
      </c>
    </row>
    <row r="36" spans="2:2" x14ac:dyDescent="0.2">
      <c r="B36" s="8" t="s">
        <v>32</v>
      </c>
    </row>
    <row r="38" spans="2:2" x14ac:dyDescent="0.2">
      <c r="B38" s="13" t="s">
        <v>33</v>
      </c>
    </row>
    <row r="39" spans="2:2" x14ac:dyDescent="0.2">
      <c r="B39" s="5" t="s">
        <v>34</v>
      </c>
    </row>
  </sheetData>
  <mergeCells count="5">
    <mergeCell ref="A1:J1"/>
    <mergeCell ref="B23:K23"/>
    <mergeCell ref="B2:V2"/>
    <mergeCell ref="B17:K17"/>
    <mergeCell ref="B6:K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workbookViewId="0">
      <selection sqref="A1:J1"/>
    </sheetView>
  </sheetViews>
  <sheetFormatPr baseColWidth="10" defaultColWidth="8.83203125" defaultRowHeight="15" x14ac:dyDescent="0.2"/>
  <cols>
    <col min="1" max="14" width="8" customWidth="1"/>
  </cols>
  <sheetData>
    <row r="1" spans="1:20" x14ac:dyDescent="0.2">
      <c r="A1" s="29" t="s">
        <v>35</v>
      </c>
      <c r="B1" s="30"/>
      <c r="C1" s="30"/>
      <c r="D1" s="30"/>
      <c r="E1" s="30"/>
      <c r="F1" s="30"/>
      <c r="G1" s="30"/>
      <c r="H1" s="30"/>
      <c r="I1" s="30"/>
      <c r="J1" s="30"/>
    </row>
    <row r="2" spans="1:20" x14ac:dyDescent="0.2">
      <c r="B2" s="31" t="s">
        <v>36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3"/>
    </row>
    <row r="4" spans="1:20" x14ac:dyDescent="0.2">
      <c r="B4" s="36" t="s">
        <v>37</v>
      </c>
      <c r="C4" s="32"/>
      <c r="D4" s="32"/>
      <c r="E4" s="32"/>
      <c r="F4" s="32"/>
      <c r="G4" s="32"/>
      <c r="H4" s="32"/>
      <c r="I4" s="32"/>
      <c r="J4" s="32"/>
      <c r="K4" s="32"/>
      <c r="L4" s="33"/>
    </row>
    <row r="6" spans="1:20" x14ac:dyDescent="0.2">
      <c r="B6" s="1" t="s">
        <v>38</v>
      </c>
      <c r="C6" s="1" t="s">
        <v>39</v>
      </c>
      <c r="D6" s="14" t="s">
        <v>40</v>
      </c>
      <c r="E6" s="14" t="s">
        <v>41</v>
      </c>
      <c r="F6" s="14" t="s">
        <v>42</v>
      </c>
    </row>
    <row r="7" spans="1:20" x14ac:dyDescent="0.2">
      <c r="B7" s="8" t="s">
        <v>43</v>
      </c>
      <c r="C7" s="9">
        <v>0</v>
      </c>
      <c r="D7" s="10">
        <v>0.2</v>
      </c>
      <c r="E7" s="10">
        <v>-0.1</v>
      </c>
      <c r="F7" s="10">
        <v>0.3</v>
      </c>
    </row>
    <row r="8" spans="1:20" x14ac:dyDescent="0.2">
      <c r="B8" s="8" t="s">
        <v>44</v>
      </c>
      <c r="C8" s="9">
        <v>1</v>
      </c>
      <c r="D8" s="10">
        <v>0.4</v>
      </c>
      <c r="E8" s="10">
        <v>0.2</v>
      </c>
      <c r="F8" s="10">
        <v>-0.2</v>
      </c>
    </row>
    <row r="9" spans="1:20" x14ac:dyDescent="0.2">
      <c r="B9" s="8" t="s">
        <v>45</v>
      </c>
      <c r="C9" s="9">
        <v>2</v>
      </c>
      <c r="D9" s="10">
        <v>-0.1</v>
      </c>
      <c r="E9" s="10">
        <v>0.3</v>
      </c>
      <c r="F9" s="10">
        <v>0.1</v>
      </c>
    </row>
    <row r="10" spans="1:20" x14ac:dyDescent="0.2">
      <c r="B10" s="8" t="s">
        <v>46</v>
      </c>
      <c r="C10" s="9">
        <v>3</v>
      </c>
      <c r="D10" s="10">
        <v>0.3</v>
      </c>
      <c r="E10" s="10">
        <v>-0.2</v>
      </c>
      <c r="F10" s="10">
        <v>0.4</v>
      </c>
    </row>
    <row r="11" spans="1:20" x14ac:dyDescent="0.2">
      <c r="B11" s="8" t="s">
        <v>47</v>
      </c>
      <c r="C11" s="9">
        <v>4</v>
      </c>
      <c r="D11" s="10">
        <v>0.1</v>
      </c>
      <c r="E11" s="10">
        <v>0.4</v>
      </c>
      <c r="F11" s="10">
        <v>-0.3</v>
      </c>
    </row>
    <row r="12" spans="1:20" x14ac:dyDescent="0.2">
      <c r="B12" s="8" t="s">
        <v>48</v>
      </c>
      <c r="C12" s="9">
        <v>5</v>
      </c>
      <c r="D12" s="10">
        <v>0.5</v>
      </c>
      <c r="E12" s="10">
        <v>0.1</v>
      </c>
      <c r="F12" s="10">
        <v>0.2</v>
      </c>
    </row>
    <row r="15" spans="1:20" x14ac:dyDescent="0.2">
      <c r="B15" s="37" t="s">
        <v>49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7" spans="2:6" x14ac:dyDescent="0.2">
      <c r="B17" s="1" t="s">
        <v>38</v>
      </c>
      <c r="C17" s="1" t="s">
        <v>39</v>
      </c>
      <c r="D17" s="15" t="s">
        <v>40</v>
      </c>
      <c r="E17" s="15" t="s">
        <v>41</v>
      </c>
      <c r="F17" s="15" t="s">
        <v>42</v>
      </c>
    </row>
    <row r="18" spans="2:6" x14ac:dyDescent="0.2">
      <c r="B18" s="8" t="s">
        <v>43</v>
      </c>
      <c r="C18" s="9">
        <v>0</v>
      </c>
      <c r="D18" s="11">
        <v>-0.2</v>
      </c>
      <c r="E18" s="11">
        <v>0.1</v>
      </c>
      <c r="F18" s="11">
        <v>0.2</v>
      </c>
    </row>
    <row r="19" spans="2:6" x14ac:dyDescent="0.2">
      <c r="B19" s="8" t="s">
        <v>44</v>
      </c>
      <c r="C19" s="9">
        <v>1</v>
      </c>
      <c r="D19" s="11">
        <v>0.3</v>
      </c>
      <c r="E19" s="11">
        <v>-0.1</v>
      </c>
      <c r="F19" s="11">
        <v>0.4</v>
      </c>
    </row>
    <row r="20" spans="2:6" x14ac:dyDescent="0.2">
      <c r="B20" s="8" t="s">
        <v>45</v>
      </c>
      <c r="C20" s="9">
        <v>2</v>
      </c>
      <c r="D20" s="11">
        <v>0.1</v>
      </c>
      <c r="E20" s="11">
        <v>0.2</v>
      </c>
      <c r="F20" s="11">
        <v>-0.2</v>
      </c>
    </row>
    <row r="21" spans="2:6" x14ac:dyDescent="0.2">
      <c r="B21" s="8" t="s">
        <v>46</v>
      </c>
      <c r="C21" s="9">
        <v>3</v>
      </c>
      <c r="D21" s="11">
        <v>-0.1</v>
      </c>
      <c r="E21" s="11">
        <v>0.3</v>
      </c>
      <c r="F21" s="11">
        <v>0.1</v>
      </c>
    </row>
    <row r="22" spans="2:6" x14ac:dyDescent="0.2">
      <c r="B22" s="8" t="s">
        <v>47</v>
      </c>
      <c r="C22" s="9">
        <v>4</v>
      </c>
      <c r="D22" s="11">
        <v>0.2</v>
      </c>
      <c r="E22" s="11">
        <v>-0.3</v>
      </c>
      <c r="F22" s="11">
        <v>0.3</v>
      </c>
    </row>
    <row r="23" spans="2:6" x14ac:dyDescent="0.2">
      <c r="B23" s="8" t="s">
        <v>48</v>
      </c>
      <c r="C23" s="9">
        <v>5</v>
      </c>
      <c r="D23" s="11">
        <v>0.4</v>
      </c>
      <c r="E23" s="11">
        <v>0.2</v>
      </c>
      <c r="F23" s="11">
        <v>-0.1</v>
      </c>
    </row>
    <row r="26" spans="2:6" x14ac:dyDescent="0.2">
      <c r="B26" s="2" t="s">
        <v>50</v>
      </c>
    </row>
    <row r="27" spans="2:6" x14ac:dyDescent="0.2">
      <c r="B27" s="2" t="s">
        <v>51</v>
      </c>
    </row>
    <row r="28" spans="2:6" x14ac:dyDescent="0.2">
      <c r="B28" s="2" t="s">
        <v>52</v>
      </c>
    </row>
  </sheetData>
  <mergeCells count="4">
    <mergeCell ref="B4:L4"/>
    <mergeCell ref="A1:J1"/>
    <mergeCell ref="B15:L15"/>
    <mergeCell ref="B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7"/>
  <sheetViews>
    <sheetView topLeftCell="A20" workbookViewId="0">
      <selection sqref="A1:J1"/>
    </sheetView>
  </sheetViews>
  <sheetFormatPr baseColWidth="10" defaultColWidth="8.83203125" defaultRowHeight="15" x14ac:dyDescent="0.2"/>
  <cols>
    <col min="1" max="1" width="8" customWidth="1"/>
    <col min="2" max="2" width="38" customWidth="1"/>
    <col min="3" max="3" width="8" customWidth="1"/>
    <col min="4" max="4" width="29" customWidth="1"/>
    <col min="5" max="14" width="8" customWidth="1"/>
  </cols>
  <sheetData>
    <row r="1" spans="1:23" x14ac:dyDescent="0.2">
      <c r="A1" s="29" t="s">
        <v>53</v>
      </c>
      <c r="B1" s="30"/>
      <c r="C1" s="30"/>
      <c r="D1" s="30"/>
      <c r="E1" s="30"/>
      <c r="F1" s="30"/>
      <c r="G1" s="30"/>
      <c r="H1" s="30"/>
      <c r="I1" s="30"/>
      <c r="J1" s="30"/>
    </row>
    <row r="2" spans="1:23" x14ac:dyDescent="0.2">
      <c r="B2" s="38" t="s">
        <v>54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3"/>
    </row>
    <row r="4" spans="1:23" x14ac:dyDescent="0.2">
      <c r="B4" s="4" t="s">
        <v>55</v>
      </c>
    </row>
    <row r="5" spans="1:23" x14ac:dyDescent="0.2">
      <c r="B5" s="6" t="s">
        <v>56</v>
      </c>
    </row>
    <row r="7" spans="1:23" x14ac:dyDescent="0.2">
      <c r="B7" s="34" t="s">
        <v>57</v>
      </c>
      <c r="C7" s="32"/>
      <c r="D7" s="32"/>
      <c r="E7" s="32"/>
      <c r="F7" s="32"/>
      <c r="G7" s="32"/>
      <c r="H7" s="32"/>
      <c r="I7" s="32"/>
      <c r="J7" s="32"/>
      <c r="K7" s="32"/>
      <c r="L7" s="33"/>
    </row>
    <row r="9" spans="1:23" x14ac:dyDescent="0.2">
      <c r="B9" s="9" t="s">
        <v>58</v>
      </c>
    </row>
    <row r="10" spans="1:23" x14ac:dyDescent="0.2">
      <c r="B10" s="8" t="s">
        <v>43</v>
      </c>
      <c r="C10" s="9">
        <v>0</v>
      </c>
    </row>
    <row r="11" spans="1:23" x14ac:dyDescent="0.2">
      <c r="B11" s="8" t="s">
        <v>44</v>
      </c>
      <c r="C11" s="16">
        <v>1</v>
      </c>
    </row>
    <row r="12" spans="1:23" x14ac:dyDescent="0.2">
      <c r="B12" s="8" t="s">
        <v>45</v>
      </c>
      <c r="C12" s="9">
        <v>0</v>
      </c>
    </row>
    <row r="13" spans="1:23" x14ac:dyDescent="0.2">
      <c r="B13" s="8" t="s">
        <v>46</v>
      </c>
      <c r="C13" s="9">
        <v>0</v>
      </c>
    </row>
    <row r="14" spans="1:23" x14ac:dyDescent="0.2">
      <c r="B14" s="8" t="s">
        <v>47</v>
      </c>
      <c r="C14" s="9">
        <v>0</v>
      </c>
    </row>
    <row r="15" spans="1:23" x14ac:dyDescent="0.2">
      <c r="B15" s="8" t="s">
        <v>48</v>
      </c>
      <c r="C15" s="9">
        <v>0</v>
      </c>
    </row>
    <row r="17" spans="2:12" x14ac:dyDescent="0.2">
      <c r="B17" s="36" t="s">
        <v>59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9" spans="2:12" x14ac:dyDescent="0.2">
      <c r="B19" s="10" t="s">
        <v>60</v>
      </c>
    </row>
    <row r="20" spans="2:12" x14ac:dyDescent="0.2">
      <c r="B20" s="10" t="s">
        <v>61</v>
      </c>
      <c r="C20" s="10">
        <v>0.4</v>
      </c>
    </row>
    <row r="21" spans="2:12" x14ac:dyDescent="0.2">
      <c r="B21" s="10" t="s">
        <v>62</v>
      </c>
      <c r="C21" s="10">
        <v>0.2</v>
      </c>
    </row>
    <row r="22" spans="2:12" x14ac:dyDescent="0.2">
      <c r="B22" s="10" t="s">
        <v>63</v>
      </c>
      <c r="C22" s="10">
        <v>-0.2</v>
      </c>
    </row>
    <row r="24" spans="2:12" x14ac:dyDescent="0.2">
      <c r="B24" s="37" t="s">
        <v>64</v>
      </c>
      <c r="C24" s="32"/>
      <c r="D24" s="32"/>
      <c r="E24" s="32"/>
      <c r="F24" s="32"/>
      <c r="G24" s="32"/>
      <c r="H24" s="32"/>
      <c r="I24" s="32"/>
      <c r="J24" s="32"/>
      <c r="K24" s="32"/>
      <c r="L24" s="33"/>
    </row>
    <row r="26" spans="2:12" x14ac:dyDescent="0.2">
      <c r="B26" s="2" t="s">
        <v>65</v>
      </c>
    </row>
    <row r="28" spans="2:12" x14ac:dyDescent="0.2">
      <c r="B28" s="1" t="s">
        <v>38</v>
      </c>
      <c r="D28" s="15" t="s">
        <v>66</v>
      </c>
      <c r="H28" s="9" t="s">
        <v>67</v>
      </c>
      <c r="J28" s="15" t="s">
        <v>68</v>
      </c>
    </row>
    <row r="29" spans="2:12" x14ac:dyDescent="0.2">
      <c r="B29" s="17" t="s">
        <v>43</v>
      </c>
      <c r="D29" s="18" t="s">
        <v>69</v>
      </c>
      <c r="J29" s="17">
        <v>-0.1</v>
      </c>
    </row>
    <row r="30" spans="2:12" x14ac:dyDescent="0.2">
      <c r="B30" s="9" t="s">
        <v>44</v>
      </c>
      <c r="D30" s="18" t="s">
        <v>70</v>
      </c>
      <c r="J30" s="9">
        <v>0.02</v>
      </c>
    </row>
    <row r="31" spans="2:12" x14ac:dyDescent="0.2">
      <c r="B31" s="17" t="s">
        <v>45</v>
      </c>
      <c r="D31" s="18" t="s">
        <v>71</v>
      </c>
      <c r="J31" s="17">
        <v>0.12</v>
      </c>
    </row>
    <row r="32" spans="2:12" x14ac:dyDescent="0.2">
      <c r="B32" s="9" t="s">
        <v>46</v>
      </c>
      <c r="D32" s="18" t="s">
        <v>72</v>
      </c>
      <c r="J32" s="9">
        <v>0</v>
      </c>
    </row>
    <row r="33" spans="2:12" x14ac:dyDescent="0.2">
      <c r="B33" s="9" t="s">
        <v>47</v>
      </c>
      <c r="D33" s="18" t="s">
        <v>73</v>
      </c>
      <c r="J33" s="9">
        <v>-0.04</v>
      </c>
    </row>
    <row r="34" spans="2:12" x14ac:dyDescent="0.2">
      <c r="B34" s="9" t="s">
        <v>48</v>
      </c>
      <c r="D34" s="18" t="s">
        <v>74</v>
      </c>
      <c r="J34" s="9">
        <v>0.22</v>
      </c>
    </row>
    <row r="36" spans="2:12" x14ac:dyDescent="0.2">
      <c r="B36" s="35" t="s">
        <v>75</v>
      </c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8" spans="2:12" x14ac:dyDescent="0.2">
      <c r="B38" s="2" t="s">
        <v>76</v>
      </c>
    </row>
    <row r="40" spans="2:12" x14ac:dyDescent="0.2">
      <c r="B40" s="1" t="s">
        <v>38</v>
      </c>
      <c r="D40" s="15" t="s">
        <v>68</v>
      </c>
      <c r="F40" s="1" t="s">
        <v>77</v>
      </c>
      <c r="I40" s="3" t="s">
        <v>78</v>
      </c>
    </row>
    <row r="41" spans="2:12" x14ac:dyDescent="0.2">
      <c r="B41" s="17" t="s">
        <v>43</v>
      </c>
      <c r="D41" s="11">
        <v>-0.1</v>
      </c>
      <c r="F41" s="9">
        <v>0.72609999999999997</v>
      </c>
      <c r="I41" s="12">
        <v>0.14460000000000001</v>
      </c>
      <c r="K41" s="19" t="s">
        <v>79</v>
      </c>
    </row>
    <row r="42" spans="2:12" x14ac:dyDescent="0.2">
      <c r="B42" s="9" t="s">
        <v>44</v>
      </c>
      <c r="D42" s="11">
        <v>0.02</v>
      </c>
      <c r="F42" s="9">
        <v>0.81869999999999998</v>
      </c>
      <c r="I42" s="12">
        <v>0.16300000000000001</v>
      </c>
    </row>
    <row r="43" spans="2:12" x14ac:dyDescent="0.2">
      <c r="B43" s="17" t="s">
        <v>45</v>
      </c>
      <c r="D43" s="11">
        <v>0.12</v>
      </c>
      <c r="F43" s="9">
        <v>0.90480000000000005</v>
      </c>
      <c r="I43" s="12">
        <v>0.18010000000000001</v>
      </c>
      <c r="K43" s="19" t="s">
        <v>79</v>
      </c>
    </row>
    <row r="44" spans="2:12" x14ac:dyDescent="0.2">
      <c r="B44" s="9" t="s">
        <v>46</v>
      </c>
      <c r="D44" s="11">
        <v>0</v>
      </c>
      <c r="F44" s="9">
        <v>0.80249999999999999</v>
      </c>
      <c r="I44" s="12">
        <v>0.1598</v>
      </c>
    </row>
    <row r="45" spans="2:12" x14ac:dyDescent="0.2">
      <c r="B45" s="9" t="s">
        <v>47</v>
      </c>
      <c r="D45" s="11">
        <v>-0.04</v>
      </c>
      <c r="F45" s="9">
        <v>0.77110000000000001</v>
      </c>
      <c r="I45" s="12">
        <v>0.1535</v>
      </c>
    </row>
    <row r="46" spans="2:12" x14ac:dyDescent="0.2">
      <c r="B46" s="9" t="s">
        <v>48</v>
      </c>
      <c r="D46" s="11">
        <v>0.22</v>
      </c>
      <c r="F46" s="9">
        <v>1</v>
      </c>
      <c r="I46" s="12">
        <v>0.1991</v>
      </c>
    </row>
    <row r="48" spans="2:12" x14ac:dyDescent="0.2">
      <c r="B48" s="2" t="s">
        <v>80</v>
      </c>
    </row>
    <row r="50" spans="2:12" x14ac:dyDescent="0.2">
      <c r="B50" s="39" t="s">
        <v>81</v>
      </c>
      <c r="C50" s="32"/>
      <c r="D50" s="32"/>
      <c r="E50" s="32"/>
      <c r="F50" s="32"/>
      <c r="G50" s="32"/>
      <c r="H50" s="32"/>
      <c r="I50" s="32"/>
      <c r="J50" s="32"/>
      <c r="K50" s="32"/>
      <c r="L50" s="33"/>
    </row>
    <row r="52" spans="2:12" x14ac:dyDescent="0.2">
      <c r="B52" s="2" t="s">
        <v>82</v>
      </c>
    </row>
    <row r="53" spans="2:12" x14ac:dyDescent="0.2">
      <c r="B53" s="21" t="s">
        <v>83</v>
      </c>
    </row>
    <row r="54" spans="2:12" x14ac:dyDescent="0.2">
      <c r="B54" s="2" t="s">
        <v>84</v>
      </c>
    </row>
    <row r="55" spans="2:12" x14ac:dyDescent="0.2">
      <c r="B55" s="21" t="s">
        <v>85</v>
      </c>
    </row>
    <row r="57" spans="2:12" x14ac:dyDescent="0.2">
      <c r="B57" s="20" t="s">
        <v>86</v>
      </c>
    </row>
  </sheetData>
  <mergeCells count="7">
    <mergeCell ref="B2:W2"/>
    <mergeCell ref="B50:L50"/>
    <mergeCell ref="A1:J1"/>
    <mergeCell ref="B7:L7"/>
    <mergeCell ref="B24:L24"/>
    <mergeCell ref="B36:L36"/>
    <mergeCell ref="B17:L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0"/>
  <sheetViews>
    <sheetView workbookViewId="0">
      <selection sqref="A1:J1"/>
    </sheetView>
  </sheetViews>
  <sheetFormatPr baseColWidth="10" defaultColWidth="8.83203125" defaultRowHeight="15" x14ac:dyDescent="0.2"/>
  <cols>
    <col min="1" max="1" width="8" customWidth="1"/>
    <col min="2" max="2" width="32.5" customWidth="1"/>
    <col min="3" max="3" width="8" customWidth="1"/>
    <col min="4" max="4" width="14.33203125" customWidth="1"/>
    <col min="5" max="14" width="8" customWidth="1"/>
  </cols>
  <sheetData>
    <row r="1" spans="1:23" x14ac:dyDescent="0.2">
      <c r="A1" s="29" t="s">
        <v>87</v>
      </c>
      <c r="B1" s="30"/>
      <c r="C1" s="30"/>
      <c r="D1" s="30"/>
      <c r="E1" s="30"/>
      <c r="F1" s="30"/>
      <c r="G1" s="30"/>
      <c r="H1" s="30"/>
      <c r="I1" s="30"/>
      <c r="J1" s="30"/>
    </row>
    <row r="2" spans="1:23" x14ac:dyDescent="0.2">
      <c r="B2" s="40" t="s">
        <v>88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3"/>
    </row>
    <row r="4" spans="1:23" x14ac:dyDescent="0.2">
      <c r="B4" s="6" t="s">
        <v>89</v>
      </c>
    </row>
    <row r="5" spans="1:23" x14ac:dyDescent="0.2">
      <c r="B5" s="4" t="s">
        <v>90</v>
      </c>
    </row>
    <row r="7" spans="1:23" x14ac:dyDescent="0.2">
      <c r="B7" s="36" t="s">
        <v>91</v>
      </c>
      <c r="C7" s="32"/>
      <c r="D7" s="32"/>
      <c r="E7" s="32"/>
      <c r="F7" s="32"/>
      <c r="G7" s="32"/>
      <c r="H7" s="32"/>
      <c r="I7" s="32"/>
      <c r="J7" s="32"/>
      <c r="K7" s="32"/>
      <c r="L7" s="33"/>
    </row>
    <row r="9" spans="1:23" x14ac:dyDescent="0.2">
      <c r="B9" s="17" t="s">
        <v>92</v>
      </c>
      <c r="E9" s="10">
        <v>0.2</v>
      </c>
      <c r="F9" s="10">
        <v>-0.1</v>
      </c>
      <c r="G9" s="10">
        <v>0.3</v>
      </c>
    </row>
    <row r="10" spans="1:23" x14ac:dyDescent="0.2">
      <c r="B10" s="17" t="s">
        <v>93</v>
      </c>
      <c r="E10" s="10">
        <v>-0.1</v>
      </c>
      <c r="F10" s="10">
        <v>0.3</v>
      </c>
      <c r="G10" s="10">
        <v>0.1</v>
      </c>
    </row>
    <row r="12" spans="1:23" x14ac:dyDescent="0.2">
      <c r="B12" s="36" t="s">
        <v>94</v>
      </c>
      <c r="C12" s="32"/>
      <c r="D12" s="32"/>
      <c r="E12" s="32"/>
      <c r="F12" s="32"/>
      <c r="G12" s="32"/>
      <c r="H12" s="32"/>
      <c r="I12" s="32"/>
      <c r="J12" s="32"/>
      <c r="K12" s="32"/>
      <c r="L12" s="33"/>
    </row>
    <row r="14" spans="1:23" x14ac:dyDescent="0.2">
      <c r="B14" s="10" t="s">
        <v>95</v>
      </c>
    </row>
    <row r="15" spans="1:23" x14ac:dyDescent="0.2">
      <c r="B15" s="10" t="s">
        <v>61</v>
      </c>
      <c r="C15" s="2">
        <f>(0.2 + -0.1) / 2</f>
        <v>0.05</v>
      </c>
      <c r="J15" s="10">
        <f>0.05</f>
        <v>0.05</v>
      </c>
    </row>
    <row r="16" spans="1:23" x14ac:dyDescent="0.2">
      <c r="B16" s="10" t="s">
        <v>62</v>
      </c>
      <c r="C16" s="2">
        <f>(-0.1 + 0.3) / 2</f>
        <v>9.9999999999999992E-2</v>
      </c>
      <c r="J16" s="10">
        <f>0.1</f>
        <v>0.1</v>
      </c>
    </row>
    <row r="17" spans="2:12" x14ac:dyDescent="0.2">
      <c r="B17" s="10" t="s">
        <v>63</v>
      </c>
      <c r="C17" s="2">
        <f>(0.3 + 0.1) / 2</f>
        <v>0.2</v>
      </c>
      <c r="J17" s="10">
        <f>0.2</f>
        <v>0.2</v>
      </c>
    </row>
    <row r="19" spans="2:12" x14ac:dyDescent="0.2">
      <c r="B19" s="37" t="s">
        <v>96</v>
      </c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1" spans="2:12" x14ac:dyDescent="0.2">
      <c r="B21" s="1" t="s">
        <v>38</v>
      </c>
      <c r="D21" s="15" t="s">
        <v>68</v>
      </c>
    </row>
    <row r="22" spans="2:12" x14ac:dyDescent="0.2">
      <c r="B22" s="9" t="s">
        <v>43</v>
      </c>
      <c r="D22" s="11">
        <v>0.04</v>
      </c>
    </row>
    <row r="23" spans="2:12" x14ac:dyDescent="0.2">
      <c r="B23" s="16" t="s">
        <v>44</v>
      </c>
      <c r="D23" s="11">
        <v>8.5000000000000006E-2</v>
      </c>
      <c r="F23" s="22" t="s">
        <v>79</v>
      </c>
    </row>
    <row r="24" spans="2:12" x14ac:dyDescent="0.2">
      <c r="B24" s="9" t="s">
        <v>45</v>
      </c>
      <c r="D24" s="11">
        <v>-1.4999999999999999E-2</v>
      </c>
    </row>
    <row r="25" spans="2:12" x14ac:dyDescent="0.2">
      <c r="B25" s="9" t="s">
        <v>46</v>
      </c>
      <c r="D25" s="11">
        <v>4.4999999999999998E-2</v>
      </c>
    </row>
    <row r="26" spans="2:12" x14ac:dyDescent="0.2">
      <c r="B26" s="9" t="s">
        <v>47</v>
      </c>
      <c r="D26" s="11">
        <v>0.04</v>
      </c>
    </row>
    <row r="27" spans="2:12" x14ac:dyDescent="0.2">
      <c r="B27" s="9" t="s">
        <v>48</v>
      </c>
      <c r="D27" s="11">
        <v>0.02</v>
      </c>
    </row>
    <row r="29" spans="2:12" x14ac:dyDescent="0.2">
      <c r="B29" s="35" t="s">
        <v>97</v>
      </c>
      <c r="C29" s="32"/>
      <c r="D29" s="32"/>
      <c r="E29" s="32"/>
      <c r="F29" s="32"/>
      <c r="G29" s="32"/>
      <c r="H29" s="32"/>
      <c r="I29" s="32"/>
      <c r="J29" s="32"/>
      <c r="K29" s="32"/>
      <c r="L29" s="33"/>
    </row>
    <row r="31" spans="2:12" x14ac:dyDescent="0.2">
      <c r="B31" s="1" t="s">
        <v>38</v>
      </c>
      <c r="D31" s="3" t="s">
        <v>98</v>
      </c>
    </row>
    <row r="32" spans="2:12" x14ac:dyDescent="0.2">
      <c r="B32" s="9" t="s">
        <v>43</v>
      </c>
      <c r="D32" s="12">
        <v>0.1673</v>
      </c>
    </row>
    <row r="33" spans="2:4" x14ac:dyDescent="0.2">
      <c r="B33" s="16" t="s">
        <v>44</v>
      </c>
      <c r="D33" s="12">
        <v>0.17499999999999999</v>
      </c>
    </row>
    <row r="34" spans="2:4" x14ac:dyDescent="0.2">
      <c r="B34" s="9" t="s">
        <v>45</v>
      </c>
      <c r="D34" s="12">
        <v>0.1583</v>
      </c>
    </row>
    <row r="35" spans="2:4" x14ac:dyDescent="0.2">
      <c r="B35" s="9" t="s">
        <v>46</v>
      </c>
      <c r="D35" s="12">
        <v>0.1681</v>
      </c>
    </row>
    <row r="36" spans="2:4" x14ac:dyDescent="0.2">
      <c r="B36" s="9" t="s">
        <v>47</v>
      </c>
      <c r="D36" s="12">
        <v>0.1673</v>
      </c>
    </row>
    <row r="37" spans="2:4" x14ac:dyDescent="0.2">
      <c r="B37" s="9" t="s">
        <v>48</v>
      </c>
      <c r="D37" s="12">
        <v>0.16400000000000001</v>
      </c>
    </row>
    <row r="39" spans="2:4" x14ac:dyDescent="0.2">
      <c r="B39" s="2" t="s">
        <v>99</v>
      </c>
    </row>
    <row r="40" spans="2:4" x14ac:dyDescent="0.2">
      <c r="B40" s="23" t="s">
        <v>100</v>
      </c>
    </row>
  </sheetData>
  <mergeCells count="6">
    <mergeCell ref="B2:W2"/>
    <mergeCell ref="A1:J1"/>
    <mergeCell ref="B12:L12"/>
    <mergeCell ref="B29:L29"/>
    <mergeCell ref="B7:L7"/>
    <mergeCell ref="B19:L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1"/>
  <sheetViews>
    <sheetView topLeftCell="A13" workbookViewId="0">
      <selection activeCell="G23" sqref="G23"/>
    </sheetView>
  </sheetViews>
  <sheetFormatPr baseColWidth="10" defaultColWidth="8.83203125" defaultRowHeight="15" x14ac:dyDescent="0.2"/>
  <cols>
    <col min="1" max="1" width="10" customWidth="1"/>
    <col min="2" max="2" width="23.33203125" customWidth="1"/>
    <col min="3" max="5" width="10" customWidth="1"/>
    <col min="6" max="6" width="25.6640625" customWidth="1"/>
    <col min="7" max="14" width="10" customWidth="1"/>
  </cols>
  <sheetData>
    <row r="1" spans="1:23" x14ac:dyDescent="0.2">
      <c r="A1" s="29" t="s">
        <v>101</v>
      </c>
      <c r="B1" s="30"/>
      <c r="C1" s="30"/>
      <c r="D1" s="30"/>
      <c r="E1" s="30"/>
      <c r="F1" s="30"/>
      <c r="G1" s="30"/>
      <c r="H1" s="30"/>
      <c r="I1" s="30"/>
      <c r="J1" s="30"/>
    </row>
    <row r="2" spans="1:23" x14ac:dyDescent="0.2">
      <c r="B2" s="35" t="s">
        <v>102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3"/>
    </row>
    <row r="4" spans="1:23" x14ac:dyDescent="0.2">
      <c r="B4" s="2" t="s">
        <v>103</v>
      </c>
    </row>
    <row r="5" spans="1:23" x14ac:dyDescent="0.2">
      <c r="B5" s="2" t="s">
        <v>104</v>
      </c>
    </row>
    <row r="8" spans="1:23" x14ac:dyDescent="0.2">
      <c r="B8" s="37" t="s">
        <v>105</v>
      </c>
      <c r="C8" s="32"/>
      <c r="D8" s="32"/>
      <c r="E8" s="32"/>
      <c r="F8" s="32"/>
      <c r="G8" s="32"/>
      <c r="H8" s="32"/>
      <c r="I8" s="32"/>
      <c r="J8" s="32"/>
      <c r="K8" s="32"/>
      <c r="L8" s="33"/>
    </row>
    <row r="10" spans="1:23" x14ac:dyDescent="0.2">
      <c r="B10" s="2" t="s">
        <v>106</v>
      </c>
    </row>
    <row r="11" spans="1:23" x14ac:dyDescent="0.2">
      <c r="B11" s="21" t="s">
        <v>107</v>
      </c>
    </row>
    <row r="14" spans="1:23" x14ac:dyDescent="0.2">
      <c r="B14" s="36" t="s">
        <v>108</v>
      </c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6" spans="1:23" x14ac:dyDescent="0.2">
      <c r="B16" s="2" t="s">
        <v>109</v>
      </c>
    </row>
    <row r="17" spans="2:12" x14ac:dyDescent="0.2">
      <c r="B17" s="2" t="s">
        <v>110</v>
      </c>
    </row>
    <row r="19" spans="2:12" x14ac:dyDescent="0.2">
      <c r="B19" s="24" t="s">
        <v>111</v>
      </c>
    </row>
    <row r="20" spans="2:12" x14ac:dyDescent="0.2">
      <c r="B20" s="2" t="s">
        <v>112</v>
      </c>
    </row>
    <row r="21" spans="2:12" x14ac:dyDescent="0.2">
      <c r="B21" s="25" t="s">
        <v>113</v>
      </c>
    </row>
    <row r="23" spans="2:12" x14ac:dyDescent="0.2">
      <c r="B23" s="20" t="s">
        <v>114</v>
      </c>
    </row>
    <row r="24" spans="2:12" x14ac:dyDescent="0.2">
      <c r="B24" s="21" t="s">
        <v>115</v>
      </c>
    </row>
    <row r="25" spans="2:12" x14ac:dyDescent="0.2">
      <c r="B25" s="21" t="s">
        <v>116</v>
      </c>
    </row>
    <row r="28" spans="2:12" x14ac:dyDescent="0.2">
      <c r="B28" s="35" t="s">
        <v>117</v>
      </c>
      <c r="C28" s="32"/>
      <c r="D28" s="32"/>
      <c r="E28" s="32"/>
      <c r="F28" s="32"/>
      <c r="G28" s="32"/>
      <c r="H28" s="32"/>
      <c r="I28" s="32"/>
      <c r="J28" s="32"/>
      <c r="K28" s="32"/>
      <c r="L28" s="33"/>
    </row>
    <row r="30" spans="2:12" x14ac:dyDescent="0.2">
      <c r="B30" s="2" t="s">
        <v>118</v>
      </c>
    </row>
    <row r="32" spans="2:12" x14ac:dyDescent="0.2">
      <c r="B32" s="25" t="s">
        <v>119</v>
      </c>
    </row>
    <row r="33" spans="2:12" x14ac:dyDescent="0.2">
      <c r="B33" s="23" t="s">
        <v>120</v>
      </c>
    </row>
    <row r="34" spans="2:12" x14ac:dyDescent="0.2">
      <c r="B34" s="3" t="s">
        <v>121</v>
      </c>
    </row>
    <row r="37" spans="2:12" x14ac:dyDescent="0.2">
      <c r="B37" s="31" t="s">
        <v>122</v>
      </c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9" spans="2:12" x14ac:dyDescent="0.2">
      <c r="B39" s="15" t="s">
        <v>16</v>
      </c>
      <c r="F39" s="14" t="s">
        <v>123</v>
      </c>
    </row>
    <row r="40" spans="2:12" x14ac:dyDescent="0.2">
      <c r="B40" s="11" t="s">
        <v>124</v>
      </c>
      <c r="F40" s="10" t="s">
        <v>125</v>
      </c>
    </row>
    <row r="41" spans="2:12" x14ac:dyDescent="0.2">
      <c r="B41" s="11" t="s">
        <v>126</v>
      </c>
      <c r="F41" s="10" t="s">
        <v>127</v>
      </c>
    </row>
  </sheetData>
  <mergeCells count="6">
    <mergeCell ref="B2:W2"/>
    <mergeCell ref="A1:J1"/>
    <mergeCell ref="B37:L37"/>
    <mergeCell ref="B28:L28"/>
    <mergeCell ref="B14:L14"/>
    <mergeCell ref="B8:L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59"/>
  <sheetViews>
    <sheetView tabSelected="1" workbookViewId="0">
      <selection activeCell="B20" sqref="B20:T20"/>
    </sheetView>
  </sheetViews>
  <sheetFormatPr baseColWidth="10" defaultColWidth="8.83203125" defaultRowHeight="15" x14ac:dyDescent="0.2"/>
  <cols>
    <col min="1" max="1" width="8" customWidth="1"/>
    <col min="2" max="2" width="16.83203125" customWidth="1"/>
    <col min="3" max="7" width="8" customWidth="1"/>
    <col min="8" max="8" width="17.33203125" customWidth="1"/>
    <col min="9" max="17" width="8" customWidth="1"/>
  </cols>
  <sheetData>
    <row r="1" spans="1:31" x14ac:dyDescent="0.2">
      <c r="A1" s="29" t="s">
        <v>128</v>
      </c>
      <c r="B1" s="30"/>
      <c r="C1" s="30"/>
      <c r="D1" s="30"/>
      <c r="E1" s="30"/>
      <c r="F1" s="30"/>
      <c r="G1" s="30"/>
      <c r="H1" s="30"/>
      <c r="I1" s="30"/>
      <c r="J1" s="30"/>
    </row>
    <row r="2" spans="1:31" x14ac:dyDescent="0.2">
      <c r="B2" s="35" t="s">
        <v>129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3"/>
    </row>
    <row r="4" spans="1:31" x14ac:dyDescent="0.2">
      <c r="B4" s="2" t="s">
        <v>25</v>
      </c>
    </row>
    <row r="5" spans="1:31" x14ac:dyDescent="0.2">
      <c r="B5" s="2" t="s">
        <v>130</v>
      </c>
    </row>
    <row r="7" spans="1:31" x14ac:dyDescent="0.2">
      <c r="B7" s="37" t="s">
        <v>131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3"/>
    </row>
    <row r="9" spans="1:31" x14ac:dyDescent="0.2">
      <c r="B9" s="2" t="s">
        <v>132</v>
      </c>
    </row>
    <row r="11" spans="1:31" x14ac:dyDescent="0.2">
      <c r="B11" s="1" t="s">
        <v>38</v>
      </c>
      <c r="D11" s="3" t="s">
        <v>133</v>
      </c>
      <c r="F11" s="1" t="s">
        <v>134</v>
      </c>
      <c r="H11" s="20" t="s">
        <v>135</v>
      </c>
    </row>
    <row r="12" spans="1:31" x14ac:dyDescent="0.2">
      <c r="B12" s="17" t="s">
        <v>43</v>
      </c>
      <c r="D12" s="12">
        <v>0.14460000000000001</v>
      </c>
      <c r="F12" s="9">
        <v>1</v>
      </c>
      <c r="H12" s="23">
        <v>-0.85540000000000005</v>
      </c>
    </row>
    <row r="13" spans="1:31" x14ac:dyDescent="0.2">
      <c r="B13" s="9" t="s">
        <v>44</v>
      </c>
      <c r="D13" s="12">
        <v>0.16300000000000001</v>
      </c>
      <c r="F13" s="9">
        <v>0</v>
      </c>
      <c r="H13" s="23">
        <v>0.16300000000000001</v>
      </c>
    </row>
    <row r="14" spans="1:31" x14ac:dyDescent="0.2">
      <c r="B14" s="9" t="s">
        <v>45</v>
      </c>
      <c r="D14" s="12">
        <v>0.18010000000000001</v>
      </c>
      <c r="F14" s="9">
        <v>0</v>
      </c>
      <c r="H14" s="23">
        <v>0.18010000000000001</v>
      </c>
    </row>
    <row r="15" spans="1:31" x14ac:dyDescent="0.2">
      <c r="B15" s="9" t="s">
        <v>46</v>
      </c>
      <c r="D15" s="12">
        <v>0.1598</v>
      </c>
      <c r="F15" s="9">
        <v>0</v>
      </c>
      <c r="H15" s="23">
        <v>0.1598</v>
      </c>
    </row>
    <row r="16" spans="1:31" x14ac:dyDescent="0.2">
      <c r="B16" s="9" t="s">
        <v>47</v>
      </c>
      <c r="D16" s="12">
        <v>0.1535</v>
      </c>
      <c r="F16" s="9">
        <v>0</v>
      </c>
      <c r="H16" s="23">
        <v>0.1535</v>
      </c>
    </row>
    <row r="17" spans="2:20" x14ac:dyDescent="0.2">
      <c r="B17" s="9" t="s">
        <v>48</v>
      </c>
      <c r="D17" s="12">
        <v>0.1991</v>
      </c>
      <c r="F17" s="9">
        <v>0</v>
      </c>
      <c r="H17" s="23">
        <v>0.1991</v>
      </c>
    </row>
    <row r="20" spans="2:20" x14ac:dyDescent="0.2">
      <c r="B20" s="37" t="s">
        <v>136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/>
    </row>
    <row r="22" spans="2:20" x14ac:dyDescent="0.2">
      <c r="B22" s="2" t="s">
        <v>137</v>
      </c>
    </row>
    <row r="24" spans="2:20" x14ac:dyDescent="0.2">
      <c r="B24" s="6" t="s">
        <v>138</v>
      </c>
    </row>
    <row r="25" spans="2:20" x14ac:dyDescent="0.2">
      <c r="B25" s="9"/>
      <c r="D25" s="15" t="s">
        <v>139</v>
      </c>
      <c r="H25" s="20" t="s">
        <v>140</v>
      </c>
      <c r="L25" s="24" t="s">
        <v>141</v>
      </c>
    </row>
    <row r="26" spans="2:20" x14ac:dyDescent="0.2">
      <c r="B26" s="9" t="s">
        <v>40</v>
      </c>
      <c r="D26" s="11">
        <v>-0.2</v>
      </c>
      <c r="H26" s="23">
        <v>-0.3422</v>
      </c>
      <c r="L26" s="25">
        <v>-0.1658</v>
      </c>
    </row>
    <row r="27" spans="2:20" x14ac:dyDescent="0.2">
      <c r="B27" s="9" t="s">
        <v>41</v>
      </c>
      <c r="D27" s="11">
        <v>0.1</v>
      </c>
      <c r="H27" s="23">
        <v>-0.1711</v>
      </c>
      <c r="L27" s="25">
        <v>0.1171</v>
      </c>
    </row>
    <row r="28" spans="2:20" x14ac:dyDescent="0.2">
      <c r="B28" s="9" t="s">
        <v>42</v>
      </c>
      <c r="D28" s="11">
        <v>0.2</v>
      </c>
      <c r="H28" s="23">
        <v>0.1711</v>
      </c>
      <c r="L28" s="25">
        <v>0.18290000000000001</v>
      </c>
    </row>
    <row r="30" spans="2:20" x14ac:dyDescent="0.2">
      <c r="B30" s="1" t="s">
        <v>142</v>
      </c>
    </row>
    <row r="31" spans="2:20" x14ac:dyDescent="0.2">
      <c r="B31" s="9"/>
      <c r="D31" s="15" t="s">
        <v>139</v>
      </c>
      <c r="H31" s="20" t="s">
        <v>140</v>
      </c>
      <c r="L31" s="24" t="s">
        <v>141</v>
      </c>
    </row>
    <row r="32" spans="2:20" x14ac:dyDescent="0.2">
      <c r="B32" s="9" t="s">
        <v>40</v>
      </c>
      <c r="D32" s="11">
        <v>0.4</v>
      </c>
      <c r="H32" s="23">
        <v>7.9600000000000004E-2</v>
      </c>
      <c r="L32" s="25">
        <v>0.39200000000000002</v>
      </c>
    </row>
    <row r="33" spans="2:20" x14ac:dyDescent="0.2">
      <c r="B33" s="9" t="s">
        <v>41</v>
      </c>
      <c r="D33" s="11">
        <v>0.2</v>
      </c>
      <c r="H33" s="23">
        <v>3.9800000000000002E-2</v>
      </c>
      <c r="L33" s="25">
        <v>0.19600000000000001</v>
      </c>
    </row>
    <row r="34" spans="2:20" x14ac:dyDescent="0.2">
      <c r="B34" s="9" t="s">
        <v>42</v>
      </c>
      <c r="D34" s="11">
        <v>-0.1</v>
      </c>
      <c r="H34" s="23">
        <v>-3.9800000000000002E-2</v>
      </c>
      <c r="L34" s="25">
        <v>-9.6000000000000002E-2</v>
      </c>
    </row>
    <row r="36" spans="2:20" x14ac:dyDescent="0.2">
      <c r="B36" s="36" t="s">
        <v>143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3"/>
    </row>
    <row r="38" spans="2:20" x14ac:dyDescent="0.2">
      <c r="B38" s="2" t="s">
        <v>144</v>
      </c>
    </row>
    <row r="39" spans="2:20" x14ac:dyDescent="0.2">
      <c r="B39" s="2" t="s">
        <v>145</v>
      </c>
    </row>
    <row r="41" spans="2:20" x14ac:dyDescent="0.2">
      <c r="B41" s="4" t="s">
        <v>146</v>
      </c>
    </row>
    <row r="42" spans="2:20" x14ac:dyDescent="0.2">
      <c r="B42" s="9"/>
      <c r="D42" s="14" t="s">
        <v>139</v>
      </c>
      <c r="H42" s="20" t="s">
        <v>140</v>
      </c>
      <c r="L42" s="24" t="s">
        <v>141</v>
      </c>
    </row>
    <row r="43" spans="2:20" x14ac:dyDescent="0.2">
      <c r="B43" s="9" t="s">
        <v>40</v>
      </c>
      <c r="D43" s="10">
        <v>0.4</v>
      </c>
      <c r="H43" s="23">
        <v>0.33229999999999998</v>
      </c>
      <c r="L43" s="25">
        <v>0.36680000000000001</v>
      </c>
    </row>
    <row r="44" spans="2:20" x14ac:dyDescent="0.2">
      <c r="B44" s="9" t="s">
        <v>41</v>
      </c>
      <c r="D44" s="10">
        <v>0.2</v>
      </c>
      <c r="H44" s="23">
        <v>-2.41E-2</v>
      </c>
      <c r="L44" s="25">
        <v>0.2024</v>
      </c>
    </row>
    <row r="45" spans="2:20" x14ac:dyDescent="0.2">
      <c r="B45" s="9" t="s">
        <v>42</v>
      </c>
      <c r="D45" s="10">
        <v>-0.2</v>
      </c>
      <c r="H45" s="23">
        <v>-9.98E-2</v>
      </c>
      <c r="L45" s="25">
        <v>-0.19</v>
      </c>
    </row>
    <row r="48" spans="2:20" x14ac:dyDescent="0.2">
      <c r="B48" s="31" t="s">
        <v>147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3"/>
    </row>
    <row r="50" spans="2:2" x14ac:dyDescent="0.2">
      <c r="B50" s="2" t="s">
        <v>148</v>
      </c>
    </row>
    <row r="51" spans="2:2" x14ac:dyDescent="0.2">
      <c r="B51" s="2" t="s">
        <v>149</v>
      </c>
    </row>
    <row r="52" spans="2:2" x14ac:dyDescent="0.2">
      <c r="B52" s="2" t="s">
        <v>150</v>
      </c>
    </row>
    <row r="53" spans="2:2" x14ac:dyDescent="0.2">
      <c r="B53" s="2" t="s">
        <v>151</v>
      </c>
    </row>
    <row r="54" spans="2:2" x14ac:dyDescent="0.2">
      <c r="B54" s="2" t="s">
        <v>152</v>
      </c>
    </row>
    <row r="55" spans="2:2" x14ac:dyDescent="0.2">
      <c r="B55" s="2" t="s">
        <v>153</v>
      </c>
    </row>
    <row r="56" spans="2:2" x14ac:dyDescent="0.2">
      <c r="B56" s="2" t="s">
        <v>154</v>
      </c>
    </row>
    <row r="57" spans="2:2" x14ac:dyDescent="0.2">
      <c r="B57" s="2"/>
    </row>
    <row r="58" spans="2:2" x14ac:dyDescent="0.2">
      <c r="B58" s="2" t="s">
        <v>155</v>
      </c>
    </row>
    <row r="59" spans="2:2" x14ac:dyDescent="0.2">
      <c r="B59" s="2" t="s">
        <v>156</v>
      </c>
    </row>
  </sheetData>
  <mergeCells count="6">
    <mergeCell ref="A1:J1"/>
    <mergeCell ref="B20:T20"/>
    <mergeCell ref="B36:T36"/>
    <mergeCell ref="B2:AE2"/>
    <mergeCell ref="B48:T48"/>
    <mergeCell ref="B7:T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3"/>
  <sheetViews>
    <sheetView workbookViewId="0"/>
  </sheetViews>
  <sheetFormatPr baseColWidth="10" defaultColWidth="8.83203125" defaultRowHeight="15" x14ac:dyDescent="0.2"/>
  <cols>
    <col min="1" max="19" width="10" customWidth="1"/>
  </cols>
  <sheetData>
    <row r="1" spans="1:20" x14ac:dyDescent="0.2">
      <c r="A1" s="29" t="s">
        <v>157</v>
      </c>
      <c r="B1" s="30"/>
      <c r="C1" s="30"/>
      <c r="D1" s="30"/>
      <c r="E1" s="30"/>
      <c r="F1" s="30"/>
      <c r="G1" s="30"/>
      <c r="H1" s="30"/>
      <c r="I1" s="30"/>
      <c r="J1" s="30"/>
    </row>
    <row r="2" spans="1:20" x14ac:dyDescent="0.2">
      <c r="B2" s="31" t="s">
        <v>158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3"/>
    </row>
    <row r="4" spans="1:20" x14ac:dyDescent="0.2">
      <c r="B4" s="4" t="s">
        <v>159</v>
      </c>
    </row>
    <row r="6" spans="1:20" x14ac:dyDescent="0.2">
      <c r="B6" s="26" t="s">
        <v>160</v>
      </c>
    </row>
    <row r="7" spans="1:20" x14ac:dyDescent="0.2">
      <c r="B7" s="18" t="s">
        <v>161</v>
      </c>
    </row>
    <row r="8" spans="1:20" x14ac:dyDescent="0.2">
      <c r="B8" s="27" t="s">
        <v>162</v>
      </c>
    </row>
    <row r="9" spans="1:20" x14ac:dyDescent="0.2">
      <c r="B9" s="21" t="s">
        <v>163</v>
      </c>
    </row>
    <row r="11" spans="1:20" x14ac:dyDescent="0.2">
      <c r="B11" s="6" t="s">
        <v>164</v>
      </c>
    </row>
    <row r="13" spans="1:20" x14ac:dyDescent="0.2">
      <c r="B13" s="26" t="s">
        <v>165</v>
      </c>
    </row>
    <row r="14" spans="1:20" x14ac:dyDescent="0.2">
      <c r="B14" s="18" t="s">
        <v>166</v>
      </c>
    </row>
    <row r="15" spans="1:20" x14ac:dyDescent="0.2">
      <c r="B15" s="27" t="s">
        <v>167</v>
      </c>
    </row>
    <row r="16" spans="1:20" x14ac:dyDescent="0.2">
      <c r="B16" s="21" t="s">
        <v>168</v>
      </c>
    </row>
    <row r="18" spans="2:2" x14ac:dyDescent="0.2">
      <c r="B18" s="3" t="s">
        <v>169</v>
      </c>
    </row>
    <row r="20" spans="2:2" x14ac:dyDescent="0.2">
      <c r="B20" s="21" t="s">
        <v>170</v>
      </c>
    </row>
    <row r="21" spans="2:2" x14ac:dyDescent="0.2">
      <c r="B21" s="28" t="s">
        <v>171</v>
      </c>
    </row>
    <row r="23" spans="2:2" x14ac:dyDescent="0.2">
      <c r="B23" s="28" t="s">
        <v>172</v>
      </c>
    </row>
  </sheetData>
  <mergeCells count="2">
    <mergeCell ref="A1:J1"/>
    <mergeCell ref="B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Embeddings</vt:lpstr>
      <vt:lpstr>Skipgram_Forward</vt:lpstr>
      <vt:lpstr>CBOW_Forward</vt:lpstr>
      <vt:lpstr>Negative_Sampling</vt:lpstr>
      <vt:lpstr>Backward</vt:lpstr>
      <vt:lpstr>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Jihwan Kim</cp:lastModifiedBy>
  <dcterms:created xsi:type="dcterms:W3CDTF">2026-01-20T07:10:01Z</dcterms:created>
  <dcterms:modified xsi:type="dcterms:W3CDTF">2026-02-11T00:22:11Z</dcterms:modified>
</cp:coreProperties>
</file>