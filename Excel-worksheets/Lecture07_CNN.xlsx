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eprocessing" sheetId="2" state="visible" r:id="rId2"/>
    <sheet xmlns:r="http://schemas.openxmlformats.org/officeDocument/2006/relationships" name="Convolution" sheetId="3" state="visible" r:id="rId3"/>
    <sheet xmlns:r="http://schemas.openxmlformats.org/officeDocument/2006/relationships" name="ReLU" sheetId="4" state="visible" r:id="rId4"/>
    <sheet xmlns:r="http://schemas.openxmlformats.org/officeDocument/2006/relationships" name="MaxPool" sheetId="5" state="visible" r:id="rId5"/>
    <sheet xmlns:r="http://schemas.openxmlformats.org/officeDocument/2006/relationships" name="FC_Output" sheetId="6" state="visible" r:id="rId6"/>
    <sheet xmlns:r="http://schemas.openxmlformats.org/officeDocument/2006/relationships" name="Backward" sheetId="7" state="visible" r:id="rId7"/>
    <sheet xmlns:r="http://schemas.openxmlformats.org/officeDocument/2006/relationships" name="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FF"/>
      <sz val="12"/>
    </font>
    <font>
      <b val="1"/>
      <sz val="14"/>
    </font>
    <font>
      <b val="1"/>
      <sz val="12"/>
    </font>
    <font>
      <i val="1"/>
      <color rgb="000066CC"/>
    </font>
    <font>
      <i val="1"/>
      <color rgb="00505050"/>
      <sz val="10"/>
    </font>
  </fonts>
  <fills count="23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E5FF"/>
        <bgColor rgb="00CCE5FF"/>
      </patternFill>
    </fill>
    <fill>
      <patternFill patternType="solid">
        <fgColor rgb="00D8E4BC"/>
        <bgColor rgb="00D8E4BC"/>
      </patternFill>
    </fill>
    <fill>
      <patternFill patternType="solid">
        <fgColor rgb="00D9D9D9"/>
        <bgColor rgb="00D9D9D9"/>
      </patternFill>
    </fill>
    <fill>
      <patternFill patternType="solid">
        <fgColor rgb="00E4DFEC"/>
        <bgColor rgb="00E4DFEC"/>
      </patternFill>
    </fill>
    <fill>
      <patternFill patternType="solid">
        <fgColor rgb="00D4CFE0"/>
        <bgColor rgb="00D4CFE0"/>
      </patternFill>
    </fill>
    <fill>
      <patternFill patternType="solid">
        <fgColor rgb="00C4BFD4"/>
        <bgColor rgb="00C4BFD4"/>
      </patternFill>
    </fill>
    <fill>
      <patternFill patternType="solid">
        <fgColor rgb="00DFE4EC"/>
        <bgColor rgb="00DFE4EC"/>
      </patternFill>
    </fill>
    <fill>
      <patternFill patternType="solid">
        <fgColor rgb="00CFD4E0"/>
        <bgColor rgb="00CFD4E0"/>
      </patternFill>
    </fill>
    <fill>
      <patternFill patternType="solid">
        <fgColor rgb="00BFC4D4"/>
        <bgColor rgb="00BFC4D4"/>
      </patternFill>
    </fill>
    <fill>
      <patternFill patternType="solid">
        <fgColor rgb="00E4ECDF"/>
        <bgColor rgb="00E4ECDF"/>
      </patternFill>
    </fill>
    <fill>
      <patternFill patternType="solid">
        <fgColor rgb="00D4E0CF"/>
        <bgColor rgb="00D4E0CF"/>
      </patternFill>
    </fill>
    <fill>
      <patternFill patternType="solid">
        <fgColor rgb="00C4D4BF"/>
        <bgColor rgb="00C4D4BF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0F8FF"/>
        <bgColor rgb="00F0F8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19" borderId="0" pivotButton="0" quotePrefix="0" xfId="0"/>
    <xf numFmtId="0" fontId="5" fillId="0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6" fillId="2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8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>
      <c r="A1" s="34" t="inlineStr">
        <is>
          <t>[Description] Convolutional Neural Network (CNN) - specialized architecture for image processing using local connectivity and weight sharing.</t>
        </is>
      </c>
    </row>
    <row r="2">
      <c r="B2" s="1" t="inlineStr">
        <is>
          <t>CNN Forward Propagation with Zero Padding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3" t="n"/>
    </row>
    <row r="4">
      <c r="B4" s="1" t="inlineStr">
        <is>
          <t>RGB(0-255) → Normalize → Standardize → ZeroPad → Conv2D → ReLU → MaxPool → FC → Sigmoid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3" t="n"/>
    </row>
    <row r="5">
      <c r="B5" s="2" t="inlineStr">
        <is>
          <t xml:space="preserve">  6×6×3   →   6×6×3  →   6×6×3   →  8×8×3  →   6×6  →  6×6  →   3×3   →  1  →    1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3" t="n"/>
    </row>
    <row r="7">
      <c r="B7" s="3" t="inlineStr">
        <is>
          <t>Zero Padding (p=1): Input preserved! 6×6 → 6×6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3" t="n"/>
    </row>
    <row r="10">
      <c r="B10" s="4" t="inlineStr">
        <is>
          <t>Kernels</t>
        </is>
      </c>
    </row>
    <row r="12">
      <c r="B12" s="5" t="inlineStr">
        <is>
          <t>K_R</t>
        </is>
      </c>
      <c r="G12" s="6" t="inlineStr">
        <is>
          <t>K_G</t>
        </is>
      </c>
      <c r="L12" s="7" t="inlineStr">
        <is>
          <t>K_B</t>
        </is>
      </c>
      <c r="Q12" s="2" t="inlineStr">
        <is>
          <t>bias = 0.0</t>
        </is>
      </c>
    </row>
    <row r="13">
      <c r="B13" s="8" t="n">
        <v>1</v>
      </c>
      <c r="C13" s="8" t="n">
        <v>0</v>
      </c>
      <c r="D13" s="8" t="n">
        <v>-1</v>
      </c>
      <c r="G13" s="9" t="n">
        <v>1</v>
      </c>
      <c r="H13" s="9" t="n">
        <v>2</v>
      </c>
      <c r="I13" s="9" t="n">
        <v>1</v>
      </c>
      <c r="L13" s="10" t="n">
        <v>0</v>
      </c>
      <c r="M13" s="10" t="n">
        <v>-1</v>
      </c>
      <c r="N13" s="10" t="n">
        <v>0</v>
      </c>
    </row>
    <row r="14">
      <c r="B14" s="8" t="n">
        <v>2</v>
      </c>
      <c r="C14" s="8" t="n">
        <v>0</v>
      </c>
      <c r="D14" s="8" t="n">
        <v>-2</v>
      </c>
      <c r="G14" s="9" t="n">
        <v>0</v>
      </c>
      <c r="H14" s="9" t="n">
        <v>0</v>
      </c>
      <c r="I14" s="9" t="n">
        <v>0</v>
      </c>
      <c r="L14" s="10" t="n">
        <v>-1</v>
      </c>
      <c r="M14" s="10" t="n">
        <v>4</v>
      </c>
      <c r="N14" s="10" t="n">
        <v>-1</v>
      </c>
    </row>
    <row r="15">
      <c r="B15" s="8" t="n">
        <v>1</v>
      </c>
      <c r="C15" s="8" t="n">
        <v>0</v>
      </c>
      <c r="D15" s="8" t="n">
        <v>-1</v>
      </c>
      <c r="G15" s="9" t="n">
        <v>-1</v>
      </c>
      <c r="H15" s="9" t="n">
        <v>-2</v>
      </c>
      <c r="I15" s="9" t="n">
        <v>-1</v>
      </c>
      <c r="L15" s="10" t="n">
        <v>0</v>
      </c>
      <c r="M15" s="10" t="n">
        <v>-1</v>
      </c>
      <c r="N15" s="10" t="n">
        <v>0</v>
      </c>
    </row>
    <row r="20">
      <c r="A20" s="27">
        <f>== Why Standardization is Needed ===</f>
        <v/>
      </c>
    </row>
    <row r="22">
      <c r="A22" t="inlineStr">
        <is>
          <t>Standardization (Z-score normalization) is critical for neural network training:</t>
        </is>
      </c>
    </row>
    <row r="24">
      <c r="A24" t="inlineStr">
        <is>
          <t>1. Improves Training Stability:</t>
        </is>
      </c>
    </row>
    <row r="25">
      <c r="A25" t="inlineStr">
        <is>
          <t xml:space="preserve">   • Ensures all input features have similar scales (mean=0, std=1)</t>
        </is>
      </c>
    </row>
    <row r="26">
      <c r="A26" t="inlineStr">
        <is>
          <t xml:space="preserve">   • Prevents features with large values from dominating the learning process</t>
        </is>
      </c>
    </row>
    <row r="28">
      <c r="A28" t="inlineStr">
        <is>
          <t>2. Prevents Gradient Vanishing/Exploding:</t>
        </is>
      </c>
    </row>
    <row r="29">
      <c r="A29" t="inlineStr">
        <is>
          <t xml:space="preserve">   • Large input values can cause very large or very small gradients</t>
        </is>
      </c>
    </row>
    <row r="30">
      <c r="A30" t="inlineStr">
        <is>
          <t xml:space="preserve">   • Standardization keeps gradients in a reasonable range</t>
        </is>
      </c>
    </row>
    <row r="32">
      <c r="A32" t="inlineStr">
        <is>
          <t>3. Faster Convergence:</t>
        </is>
      </c>
    </row>
    <row r="33">
      <c r="A33" t="inlineStr">
        <is>
          <t xml:space="preserve">   • Optimizers (like SGD, Adam) work better with standardized inputs</t>
        </is>
      </c>
    </row>
    <row r="34">
      <c r="A34" t="inlineStr">
        <is>
          <t xml:space="preserve">   • Learning rate can be set more easily and consistently</t>
        </is>
      </c>
    </row>
    <row r="36">
      <c r="A36" t="inlineStr">
        <is>
          <t>4. Better Weight Initialization:</t>
        </is>
      </c>
    </row>
    <row r="37">
      <c r="A37" t="inlineStr">
        <is>
          <t xml:space="preserve">   • Standard initialization techniques (Xavier, He) assume normalized inputs</t>
        </is>
      </c>
    </row>
    <row r="38">
      <c r="A38" t="inlineStr">
        <is>
          <t xml:space="preserve">   • Helps weights start in an optimal range</t>
        </is>
      </c>
    </row>
    <row r="40">
      <c r="A40" t="inlineStr">
        <is>
          <t>Formula: z = (x - mean) / std</t>
        </is>
      </c>
    </row>
    <row r="41">
      <c r="A41" t="inlineStr">
        <is>
          <t>Result: Transformed data has mean ≈ 0 and standard deviation ≈ 1</t>
        </is>
      </c>
    </row>
  </sheetData>
  <mergeCells count="5">
    <mergeCell ref="A1:J1"/>
    <mergeCell ref="B2:V2"/>
    <mergeCell ref="B7:V7"/>
    <mergeCell ref="B5:V5"/>
    <mergeCell ref="B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34" t="inlineStr">
        <is>
          <t>[Description] Image preprocessing: Normalize pixel values (0-255 to 0-1) and standardize using ImageNet statistics.</t>
        </is>
      </c>
    </row>
    <row r="2">
      <c r="B2" s="11" t="inlineStr">
        <is>
          <t>Preprocessing: Original(0-255) → Normalized(0-1) → Standardized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3" t="n"/>
    </row>
    <row r="5">
      <c r="B5" s="5" t="inlineStr">
        <is>
          <t>R Channel</t>
        </is>
      </c>
    </row>
    <row r="7">
      <c r="B7" s="5" t="inlineStr">
        <is>
          <t>Original</t>
        </is>
      </c>
      <c r="I7" s="1" t="inlineStr">
        <is>
          <t>→ ÷255 →</t>
        </is>
      </c>
      <c r="K7" s="5" t="inlineStr">
        <is>
          <t>Normalized</t>
        </is>
      </c>
      <c r="R7" s="1" t="inlineStr">
        <is>
          <t>→ (x-0.485)/0.229 →</t>
        </is>
      </c>
      <c r="W7" s="5" t="inlineStr">
        <is>
          <t>Standardized</t>
        </is>
      </c>
    </row>
    <row r="8">
      <c r="B8" s="8" t="n">
        <v>255</v>
      </c>
      <c r="C8" s="8" t="n">
        <v>200</v>
      </c>
      <c r="D8" s="8" t="n">
        <v>150</v>
      </c>
      <c r="E8" s="8" t="n">
        <v>100</v>
      </c>
      <c r="F8" s="8" t="n">
        <v>50</v>
      </c>
      <c r="G8" s="8" t="n">
        <v>25</v>
      </c>
      <c r="K8" s="8" t="n">
        <v>1</v>
      </c>
      <c r="L8" s="8" t="n">
        <v>0.784</v>
      </c>
      <c r="M8" s="8" t="n">
        <v>0.588</v>
      </c>
      <c r="N8" s="8" t="n">
        <v>0.392</v>
      </c>
      <c r="O8" s="8" t="n">
        <v>0.196</v>
      </c>
      <c r="P8" s="8" t="n">
        <v>0.098</v>
      </c>
      <c r="W8" s="8" t="n">
        <v>2.25</v>
      </c>
      <c r="X8" s="8" t="n">
        <v>1.31</v>
      </c>
      <c r="Y8" s="8" t="n">
        <v>0.45</v>
      </c>
      <c r="Z8" s="8" t="n">
        <v>-0.41</v>
      </c>
      <c r="AA8" s="8" t="n">
        <v>-1.26</v>
      </c>
      <c r="AB8" s="8" t="n">
        <v>-1.69</v>
      </c>
    </row>
    <row r="9">
      <c r="B9" s="8" t="n">
        <v>230</v>
      </c>
      <c r="C9" s="8" t="n">
        <v>180</v>
      </c>
      <c r="D9" s="8" t="n">
        <v>130</v>
      </c>
      <c r="E9" s="8" t="n">
        <v>80</v>
      </c>
      <c r="F9" s="8" t="n">
        <v>40</v>
      </c>
      <c r="G9" s="8" t="n">
        <v>20</v>
      </c>
      <c r="K9" s="8" t="n">
        <v>0.902</v>
      </c>
      <c r="L9" s="8" t="n">
        <v>0.706</v>
      </c>
      <c r="M9" s="8" t="n">
        <v>0.51</v>
      </c>
      <c r="N9" s="8" t="n">
        <v>0.314</v>
      </c>
      <c r="O9" s="8" t="n">
        <v>0.157</v>
      </c>
      <c r="P9" s="8" t="n">
        <v>0.078</v>
      </c>
      <c r="W9" s="8" t="n">
        <v>1.82</v>
      </c>
      <c r="X9" s="8" t="n">
        <v>0.96</v>
      </c>
      <c r="Y9" s="8" t="n">
        <v>0.11</v>
      </c>
      <c r="Z9" s="8" t="n">
        <v>-0.75</v>
      </c>
      <c r="AA9" s="8" t="n">
        <v>-1.43</v>
      </c>
      <c r="AB9" s="8" t="n">
        <v>-1.78</v>
      </c>
    </row>
    <row r="10">
      <c r="B10" s="8" t="n">
        <v>210</v>
      </c>
      <c r="C10" s="8" t="n">
        <v>160</v>
      </c>
      <c r="D10" s="8" t="n">
        <v>120</v>
      </c>
      <c r="E10" s="8" t="n">
        <v>70</v>
      </c>
      <c r="F10" s="8" t="n">
        <v>35</v>
      </c>
      <c r="G10" s="8" t="n">
        <v>15</v>
      </c>
      <c r="K10" s="8" t="n">
        <v>0.824</v>
      </c>
      <c r="L10" s="8" t="n">
        <v>0.627</v>
      </c>
      <c r="M10" s="8" t="n">
        <v>0.471</v>
      </c>
      <c r="N10" s="8" t="n">
        <v>0.275</v>
      </c>
      <c r="O10" s="8" t="n">
        <v>0.137</v>
      </c>
      <c r="P10" s="8" t="n">
        <v>0.059</v>
      </c>
      <c r="W10" s="8" t="n">
        <v>1.48</v>
      </c>
      <c r="X10" s="8" t="n">
        <v>0.62</v>
      </c>
      <c r="Y10" s="8" t="n">
        <v>-0.06</v>
      </c>
      <c r="Z10" s="8" t="n">
        <v>-0.92</v>
      </c>
      <c r="AA10" s="8" t="n">
        <v>-1.52</v>
      </c>
      <c r="AB10" s="8" t="n">
        <v>-1.86</v>
      </c>
    </row>
    <row r="11">
      <c r="B11" s="8" t="n">
        <v>190</v>
      </c>
      <c r="C11" s="8" t="n">
        <v>140</v>
      </c>
      <c r="D11" s="8" t="n">
        <v>100</v>
      </c>
      <c r="E11" s="8" t="n">
        <v>60</v>
      </c>
      <c r="F11" s="8" t="n">
        <v>30</v>
      </c>
      <c r="G11" s="8" t="n">
        <v>10</v>
      </c>
      <c r="K11" s="8" t="n">
        <v>0.745</v>
      </c>
      <c r="L11" s="8" t="n">
        <v>0.549</v>
      </c>
      <c r="M11" s="8" t="n">
        <v>0.392</v>
      </c>
      <c r="N11" s="8" t="n">
        <v>0.235</v>
      </c>
      <c r="O11" s="8" t="n">
        <v>0.118</v>
      </c>
      <c r="P11" s="8" t="n">
        <v>0.039</v>
      </c>
      <c r="W11" s="8" t="n">
        <v>1.14</v>
      </c>
      <c r="X11" s="8" t="n">
        <v>0.28</v>
      </c>
      <c r="Y11" s="8" t="n">
        <v>-0.41</v>
      </c>
      <c r="Z11" s="8" t="n">
        <v>-1.09</v>
      </c>
      <c r="AA11" s="8" t="n">
        <v>-1.6</v>
      </c>
      <c r="AB11" s="8" t="n">
        <v>-1.95</v>
      </c>
    </row>
    <row r="12">
      <c r="B12" s="8" t="n">
        <v>170</v>
      </c>
      <c r="C12" s="8" t="n">
        <v>120</v>
      </c>
      <c r="D12" s="8" t="n">
        <v>80</v>
      </c>
      <c r="E12" s="8" t="n">
        <v>50</v>
      </c>
      <c r="F12" s="8" t="n">
        <v>25</v>
      </c>
      <c r="G12" s="8" t="n">
        <v>5</v>
      </c>
      <c r="K12" s="8" t="n">
        <v>0.667</v>
      </c>
      <c r="L12" s="8" t="n">
        <v>0.471</v>
      </c>
      <c r="M12" s="8" t="n">
        <v>0.314</v>
      </c>
      <c r="N12" s="8" t="n">
        <v>0.196</v>
      </c>
      <c r="O12" s="8" t="n">
        <v>0.098</v>
      </c>
      <c r="P12" s="8" t="n">
        <v>0.02</v>
      </c>
      <c r="W12" s="8" t="n">
        <v>0.79</v>
      </c>
      <c r="X12" s="8" t="n">
        <v>-0.06</v>
      </c>
      <c r="Y12" s="8" t="n">
        <v>-0.75</v>
      </c>
      <c r="Z12" s="8" t="n">
        <v>-1.26</v>
      </c>
      <c r="AA12" s="8" t="n">
        <v>-1.69</v>
      </c>
      <c r="AB12" s="8" t="n">
        <v>-2.03</v>
      </c>
    </row>
    <row r="13">
      <c r="B13" s="8" t="n">
        <v>150</v>
      </c>
      <c r="C13" s="8" t="n">
        <v>100</v>
      </c>
      <c r="D13" s="8" t="n">
        <v>60</v>
      </c>
      <c r="E13" s="8" t="n">
        <v>40</v>
      </c>
      <c r="F13" s="8" t="n">
        <v>20</v>
      </c>
      <c r="G13" s="8" t="n">
        <v>0</v>
      </c>
      <c r="K13" s="8" t="n">
        <v>0.588</v>
      </c>
      <c r="L13" s="8" t="n">
        <v>0.392</v>
      </c>
      <c r="M13" s="8" t="n">
        <v>0.235</v>
      </c>
      <c r="N13" s="8" t="n">
        <v>0.157</v>
      </c>
      <c r="O13" s="8" t="n">
        <v>0.078</v>
      </c>
      <c r="P13" s="8" t="n">
        <v>0</v>
      </c>
      <c r="W13" s="8" t="n">
        <v>0.45</v>
      </c>
      <c r="X13" s="8" t="n">
        <v>-0.41</v>
      </c>
      <c r="Y13" s="8" t="n">
        <v>-1.09</v>
      </c>
      <c r="Z13" s="8" t="n">
        <v>-1.43</v>
      </c>
      <c r="AA13" s="8" t="n">
        <v>-1.78</v>
      </c>
      <c r="AB13" s="8" t="n">
        <v>-2.12</v>
      </c>
    </row>
    <row r="16">
      <c r="B16" s="6" t="inlineStr">
        <is>
          <t>G Channel</t>
        </is>
      </c>
    </row>
    <row r="18">
      <c r="B18" s="6" t="inlineStr">
        <is>
          <t>Original</t>
        </is>
      </c>
      <c r="I18" s="1" t="inlineStr">
        <is>
          <t>→ ÷255 →</t>
        </is>
      </c>
      <c r="K18" s="6" t="inlineStr">
        <is>
          <t>Normalized</t>
        </is>
      </c>
      <c r="R18" s="1" t="inlineStr">
        <is>
          <t>→ (x-0.456)/0.224 →</t>
        </is>
      </c>
      <c r="W18" s="6" t="inlineStr">
        <is>
          <t>Standardized</t>
        </is>
      </c>
    </row>
    <row r="19">
      <c r="B19" s="9" t="n">
        <v>100</v>
      </c>
      <c r="C19" s="9" t="n">
        <v>120</v>
      </c>
      <c r="D19" s="9" t="n">
        <v>140</v>
      </c>
      <c r="E19" s="9" t="n">
        <v>160</v>
      </c>
      <c r="F19" s="9" t="n">
        <v>180</v>
      </c>
      <c r="G19" s="9" t="n">
        <v>200</v>
      </c>
      <c r="K19" s="9" t="n">
        <v>0.392</v>
      </c>
      <c r="L19" s="9" t="n">
        <v>0.471</v>
      </c>
      <c r="M19" s="9" t="n">
        <v>0.549</v>
      </c>
      <c r="N19" s="9" t="n">
        <v>0.627</v>
      </c>
      <c r="O19" s="9" t="n">
        <v>0.706</v>
      </c>
      <c r="P19" s="9" t="n">
        <v>0.784</v>
      </c>
      <c r="W19" s="9" t="n">
        <v>-0.29</v>
      </c>
      <c r="X19" s="9" t="n">
        <v>0.07000000000000001</v>
      </c>
      <c r="Y19" s="9" t="n">
        <v>0.42</v>
      </c>
      <c r="Z19" s="9" t="n">
        <v>0.77</v>
      </c>
      <c r="AA19" s="9" t="n">
        <v>1.12</v>
      </c>
      <c r="AB19" s="9" t="n">
        <v>1.47</v>
      </c>
    </row>
    <row r="20">
      <c r="B20" s="9" t="n">
        <v>90</v>
      </c>
      <c r="C20" s="9" t="n">
        <v>110</v>
      </c>
      <c r="D20" s="9" t="n">
        <v>130</v>
      </c>
      <c r="E20" s="9" t="n">
        <v>150</v>
      </c>
      <c r="F20" s="9" t="n">
        <v>170</v>
      </c>
      <c r="G20" s="9" t="n">
        <v>190</v>
      </c>
      <c r="K20" s="9" t="n">
        <v>0.353</v>
      </c>
      <c r="L20" s="9" t="n">
        <v>0.431</v>
      </c>
      <c r="M20" s="9" t="n">
        <v>0.51</v>
      </c>
      <c r="N20" s="9" t="n">
        <v>0.588</v>
      </c>
      <c r="O20" s="9" t="n">
        <v>0.667</v>
      </c>
      <c r="P20" s="9" t="n">
        <v>0.745</v>
      </c>
      <c r="W20" s="9" t="n">
        <v>-0.46</v>
      </c>
      <c r="X20" s="9" t="n">
        <v>-0.11</v>
      </c>
      <c r="Y20" s="9" t="n">
        <v>0.24</v>
      </c>
      <c r="Z20" s="9" t="n">
        <v>0.59</v>
      </c>
      <c r="AA20" s="9" t="n">
        <v>0.9399999999999999</v>
      </c>
      <c r="AB20" s="9" t="n">
        <v>1.29</v>
      </c>
    </row>
    <row r="21">
      <c r="B21" s="9" t="n">
        <v>80</v>
      </c>
      <c r="C21" s="9" t="n">
        <v>100</v>
      </c>
      <c r="D21" s="9" t="n">
        <v>120</v>
      </c>
      <c r="E21" s="9" t="n">
        <v>140</v>
      </c>
      <c r="F21" s="9" t="n">
        <v>160</v>
      </c>
      <c r="G21" s="9" t="n">
        <v>180</v>
      </c>
      <c r="K21" s="9" t="n">
        <v>0.314</v>
      </c>
      <c r="L21" s="9" t="n">
        <v>0.392</v>
      </c>
      <c r="M21" s="9" t="n">
        <v>0.471</v>
      </c>
      <c r="N21" s="9" t="n">
        <v>0.549</v>
      </c>
      <c r="O21" s="9" t="n">
        <v>0.627</v>
      </c>
      <c r="P21" s="9" t="n">
        <v>0.706</v>
      </c>
      <c r="W21" s="9" t="n">
        <v>-0.64</v>
      </c>
      <c r="X21" s="9" t="n">
        <v>-0.29</v>
      </c>
      <c r="Y21" s="9" t="n">
        <v>0.07000000000000001</v>
      </c>
      <c r="Z21" s="9" t="n">
        <v>0.42</v>
      </c>
      <c r="AA21" s="9" t="n">
        <v>0.77</v>
      </c>
      <c r="AB21" s="9" t="n">
        <v>1.12</v>
      </c>
    </row>
    <row r="22">
      <c r="B22" s="9" t="n">
        <v>70</v>
      </c>
      <c r="C22" s="9" t="n">
        <v>90</v>
      </c>
      <c r="D22" s="9" t="n">
        <v>110</v>
      </c>
      <c r="E22" s="9" t="n">
        <v>130</v>
      </c>
      <c r="F22" s="9" t="n">
        <v>150</v>
      </c>
      <c r="G22" s="9" t="n">
        <v>170</v>
      </c>
      <c r="K22" s="9" t="n">
        <v>0.275</v>
      </c>
      <c r="L22" s="9" t="n">
        <v>0.353</v>
      </c>
      <c r="M22" s="9" t="n">
        <v>0.431</v>
      </c>
      <c r="N22" s="9" t="n">
        <v>0.51</v>
      </c>
      <c r="O22" s="9" t="n">
        <v>0.588</v>
      </c>
      <c r="P22" s="9" t="n">
        <v>0.667</v>
      </c>
      <c r="W22" s="9" t="n">
        <v>-0.8100000000000001</v>
      </c>
      <c r="X22" s="9" t="n">
        <v>-0.46</v>
      </c>
      <c r="Y22" s="9" t="n">
        <v>-0.11</v>
      </c>
      <c r="Z22" s="9" t="n">
        <v>0.24</v>
      </c>
      <c r="AA22" s="9" t="n">
        <v>0.59</v>
      </c>
      <c r="AB22" s="9" t="n">
        <v>0.9399999999999999</v>
      </c>
    </row>
    <row r="23">
      <c r="B23" s="9" t="n">
        <v>60</v>
      </c>
      <c r="C23" s="9" t="n">
        <v>80</v>
      </c>
      <c r="D23" s="9" t="n">
        <v>100</v>
      </c>
      <c r="E23" s="9" t="n">
        <v>120</v>
      </c>
      <c r="F23" s="9" t="n">
        <v>140</v>
      </c>
      <c r="G23" s="9" t="n">
        <v>160</v>
      </c>
      <c r="K23" s="9" t="n">
        <v>0.235</v>
      </c>
      <c r="L23" s="9" t="n">
        <v>0.314</v>
      </c>
      <c r="M23" s="9" t="n">
        <v>0.392</v>
      </c>
      <c r="N23" s="9" t="n">
        <v>0.471</v>
      </c>
      <c r="O23" s="9" t="n">
        <v>0.549</v>
      </c>
      <c r="P23" s="9" t="n">
        <v>0.627</v>
      </c>
      <c r="W23" s="9" t="n">
        <v>-0.99</v>
      </c>
      <c r="X23" s="9" t="n">
        <v>-0.64</v>
      </c>
      <c r="Y23" s="9" t="n">
        <v>-0.29</v>
      </c>
      <c r="Z23" s="9" t="n">
        <v>0.07000000000000001</v>
      </c>
      <c r="AA23" s="9" t="n">
        <v>0.42</v>
      </c>
      <c r="AB23" s="9" t="n">
        <v>0.77</v>
      </c>
    </row>
    <row r="24">
      <c r="B24" s="9" t="n">
        <v>50</v>
      </c>
      <c r="C24" s="9" t="n">
        <v>70</v>
      </c>
      <c r="D24" s="9" t="n">
        <v>90</v>
      </c>
      <c r="E24" s="9" t="n">
        <v>110</v>
      </c>
      <c r="F24" s="9" t="n">
        <v>130</v>
      </c>
      <c r="G24" s="9" t="n">
        <v>150</v>
      </c>
      <c r="K24" s="9" t="n">
        <v>0.196</v>
      </c>
      <c r="L24" s="9" t="n">
        <v>0.275</v>
      </c>
      <c r="M24" s="9" t="n">
        <v>0.353</v>
      </c>
      <c r="N24" s="9" t="n">
        <v>0.431</v>
      </c>
      <c r="O24" s="9" t="n">
        <v>0.51</v>
      </c>
      <c r="P24" s="9" t="n">
        <v>0.588</v>
      </c>
      <c r="W24" s="9" t="n">
        <v>-1.16</v>
      </c>
      <c r="X24" s="9" t="n">
        <v>-0.8100000000000001</v>
      </c>
      <c r="Y24" s="9" t="n">
        <v>-0.46</v>
      </c>
      <c r="Z24" s="9" t="n">
        <v>-0.11</v>
      </c>
      <c r="AA24" s="9" t="n">
        <v>0.24</v>
      </c>
      <c r="AB24" s="9" t="n">
        <v>0.59</v>
      </c>
    </row>
    <row r="27">
      <c r="B27" s="7" t="inlineStr">
        <is>
          <t>B Channel</t>
        </is>
      </c>
    </row>
    <row r="29">
      <c r="B29" s="7" t="inlineStr">
        <is>
          <t>Original</t>
        </is>
      </c>
      <c r="I29" s="1" t="inlineStr">
        <is>
          <t>→ ÷255 →</t>
        </is>
      </c>
      <c r="K29" s="7" t="inlineStr">
        <is>
          <t>Normalized</t>
        </is>
      </c>
      <c r="R29" s="1" t="inlineStr">
        <is>
          <t>→ (x-0.406)/0.225 →</t>
        </is>
      </c>
      <c r="W29" s="7" t="inlineStr">
        <is>
          <t>Standardized</t>
        </is>
      </c>
    </row>
    <row r="30">
      <c r="B30" s="10" t="n">
        <v>50</v>
      </c>
      <c r="C30" s="10" t="n">
        <v>75</v>
      </c>
      <c r="D30" s="10" t="n">
        <v>100</v>
      </c>
      <c r="E30" s="10" t="n">
        <v>125</v>
      </c>
      <c r="F30" s="10" t="n">
        <v>150</v>
      </c>
      <c r="G30" s="10" t="n">
        <v>175</v>
      </c>
      <c r="K30" s="10" t="n">
        <v>0.196</v>
      </c>
      <c r="L30" s="10" t="n">
        <v>0.294</v>
      </c>
      <c r="M30" s="10" t="n">
        <v>0.392</v>
      </c>
      <c r="N30" s="10" t="n">
        <v>0.49</v>
      </c>
      <c r="O30" s="10" t="n">
        <v>0.588</v>
      </c>
      <c r="P30" s="10" t="n">
        <v>0.6860000000000001</v>
      </c>
      <c r="W30" s="10" t="n">
        <v>-0.93</v>
      </c>
      <c r="X30" s="10" t="n">
        <v>-0.5</v>
      </c>
      <c r="Y30" s="10" t="n">
        <v>-0.06</v>
      </c>
      <c r="Z30" s="10" t="n">
        <v>0.37</v>
      </c>
      <c r="AA30" s="10" t="n">
        <v>0.8100000000000001</v>
      </c>
      <c r="AB30" s="10" t="n">
        <v>1.25</v>
      </c>
    </row>
    <row r="31">
      <c r="B31" s="10" t="n">
        <v>60</v>
      </c>
      <c r="C31" s="10" t="n">
        <v>85</v>
      </c>
      <c r="D31" s="10" t="n">
        <v>110</v>
      </c>
      <c r="E31" s="10" t="n">
        <v>135</v>
      </c>
      <c r="F31" s="10" t="n">
        <v>160</v>
      </c>
      <c r="G31" s="10" t="n">
        <v>185</v>
      </c>
      <c r="K31" s="10" t="n">
        <v>0.235</v>
      </c>
      <c r="L31" s="10" t="n">
        <v>0.333</v>
      </c>
      <c r="M31" s="10" t="n">
        <v>0.431</v>
      </c>
      <c r="N31" s="10" t="n">
        <v>0.529</v>
      </c>
      <c r="O31" s="10" t="n">
        <v>0.627</v>
      </c>
      <c r="P31" s="10" t="n">
        <v>0.725</v>
      </c>
      <c r="W31" s="10" t="n">
        <v>-0.76</v>
      </c>
      <c r="X31" s="10" t="n">
        <v>-0.32</v>
      </c>
      <c r="Y31" s="10" t="n">
        <v>0.11</v>
      </c>
      <c r="Z31" s="10" t="n">
        <v>0.55</v>
      </c>
      <c r="AA31" s="10" t="n">
        <v>0.98</v>
      </c>
      <c r="AB31" s="10" t="n">
        <v>1.42</v>
      </c>
    </row>
    <row r="32">
      <c r="B32" s="10" t="n">
        <v>70</v>
      </c>
      <c r="C32" s="10" t="n">
        <v>95</v>
      </c>
      <c r="D32" s="10" t="n">
        <v>120</v>
      </c>
      <c r="E32" s="10" t="n">
        <v>145</v>
      </c>
      <c r="F32" s="10" t="n">
        <v>170</v>
      </c>
      <c r="G32" s="10" t="n">
        <v>195</v>
      </c>
      <c r="K32" s="10" t="n">
        <v>0.275</v>
      </c>
      <c r="L32" s="10" t="n">
        <v>0.373</v>
      </c>
      <c r="M32" s="10" t="n">
        <v>0.471</v>
      </c>
      <c r="N32" s="10" t="n">
        <v>0.569</v>
      </c>
      <c r="O32" s="10" t="n">
        <v>0.667</v>
      </c>
      <c r="P32" s="10" t="n">
        <v>0.765</v>
      </c>
      <c r="W32" s="10" t="n">
        <v>-0.58</v>
      </c>
      <c r="X32" s="10" t="n">
        <v>-0.15</v>
      </c>
      <c r="Y32" s="10" t="n">
        <v>0.29</v>
      </c>
      <c r="Z32" s="10" t="n">
        <v>0.72</v>
      </c>
      <c r="AA32" s="10" t="n">
        <v>1.16</v>
      </c>
      <c r="AB32" s="10" t="n">
        <v>1.59</v>
      </c>
    </row>
    <row r="33">
      <c r="B33" s="10" t="n">
        <v>80</v>
      </c>
      <c r="C33" s="10" t="n">
        <v>105</v>
      </c>
      <c r="D33" s="10" t="n">
        <v>130</v>
      </c>
      <c r="E33" s="10" t="n">
        <v>155</v>
      </c>
      <c r="F33" s="10" t="n">
        <v>180</v>
      </c>
      <c r="G33" s="10" t="n">
        <v>205</v>
      </c>
      <c r="K33" s="10" t="n">
        <v>0.314</v>
      </c>
      <c r="L33" s="10" t="n">
        <v>0.412</v>
      </c>
      <c r="M33" s="10" t="n">
        <v>0.51</v>
      </c>
      <c r="N33" s="10" t="n">
        <v>0.608</v>
      </c>
      <c r="O33" s="10" t="n">
        <v>0.706</v>
      </c>
      <c r="P33" s="10" t="n">
        <v>0.804</v>
      </c>
      <c r="W33" s="10" t="n">
        <v>-0.41</v>
      </c>
      <c r="X33" s="10" t="n">
        <v>0.03</v>
      </c>
      <c r="Y33" s="10" t="n">
        <v>0.46</v>
      </c>
      <c r="Z33" s="10" t="n">
        <v>0.9</v>
      </c>
      <c r="AA33" s="10" t="n">
        <v>1.33</v>
      </c>
      <c r="AB33" s="10" t="n">
        <v>1.77</v>
      </c>
    </row>
    <row r="34">
      <c r="B34" s="10" t="n">
        <v>90</v>
      </c>
      <c r="C34" s="10" t="n">
        <v>115</v>
      </c>
      <c r="D34" s="10" t="n">
        <v>140</v>
      </c>
      <c r="E34" s="10" t="n">
        <v>165</v>
      </c>
      <c r="F34" s="10" t="n">
        <v>190</v>
      </c>
      <c r="G34" s="10" t="n">
        <v>215</v>
      </c>
      <c r="K34" s="10" t="n">
        <v>0.353</v>
      </c>
      <c r="L34" s="10" t="n">
        <v>0.451</v>
      </c>
      <c r="M34" s="10" t="n">
        <v>0.549</v>
      </c>
      <c r="N34" s="10" t="n">
        <v>0.647</v>
      </c>
      <c r="O34" s="10" t="n">
        <v>0.745</v>
      </c>
      <c r="P34" s="10" t="n">
        <v>0.843</v>
      </c>
      <c r="W34" s="10" t="n">
        <v>-0.24</v>
      </c>
      <c r="X34" s="10" t="n">
        <v>0.2</v>
      </c>
      <c r="Y34" s="10" t="n">
        <v>0.64</v>
      </c>
      <c r="Z34" s="10" t="n">
        <v>1.07</v>
      </c>
      <c r="AA34" s="10" t="n">
        <v>1.51</v>
      </c>
      <c r="AB34" s="10" t="n">
        <v>1.94</v>
      </c>
    </row>
    <row r="35">
      <c r="B35" s="10" t="n">
        <v>100</v>
      </c>
      <c r="C35" s="10" t="n">
        <v>125</v>
      </c>
      <c r="D35" s="10" t="n">
        <v>150</v>
      </c>
      <c r="E35" s="10" t="n">
        <v>175</v>
      </c>
      <c r="F35" s="10" t="n">
        <v>200</v>
      </c>
      <c r="G35" s="10" t="n">
        <v>225</v>
      </c>
      <c r="K35" s="10" t="n">
        <v>0.392</v>
      </c>
      <c r="L35" s="10" t="n">
        <v>0.49</v>
      </c>
      <c r="M35" s="10" t="n">
        <v>0.588</v>
      </c>
      <c r="N35" s="10" t="n">
        <v>0.6860000000000001</v>
      </c>
      <c r="O35" s="10" t="n">
        <v>0.784</v>
      </c>
      <c r="P35" s="10" t="n">
        <v>0.882</v>
      </c>
      <c r="W35" s="10" t="n">
        <v>-0.06</v>
      </c>
      <c r="X35" s="10" t="n">
        <v>0.37</v>
      </c>
      <c r="Y35" s="10" t="n">
        <v>0.8100000000000001</v>
      </c>
      <c r="Z35" s="10" t="n">
        <v>1.25</v>
      </c>
      <c r="AA35" s="10" t="n">
        <v>1.68</v>
      </c>
      <c r="AB35" s="10" t="n">
        <v>2.12</v>
      </c>
    </row>
  </sheetData>
  <mergeCells count="2">
    <mergeCell ref="A1:J1"/>
    <mergeCell ref="B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1">
      <c r="A1" s="34" t="inlineStr">
        <is>
          <t>[Description] Convolution extracts local features using learnable kernels. Output = sum of element-wise products over sliding window.</t>
        </is>
      </c>
    </row>
    <row r="2">
      <c r="B2" s="4" t="inlineStr">
        <is>
          <t>Convolution: Input(6×6) → ZeroPad(8×8) → Conv(6×6)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3" t="n"/>
    </row>
    <row r="4">
      <c r="B4" s="3" t="inlineStr">
        <is>
          <t>INPUT (Standardized 6×6)</t>
        </is>
      </c>
    </row>
    <row r="6">
      <c r="B6" s="5" t="inlineStr">
        <is>
          <t>R_std</t>
        </is>
      </c>
      <c r="J6" s="6" t="inlineStr">
        <is>
          <t>G_std</t>
        </is>
      </c>
      <c r="R6" s="7" t="inlineStr">
        <is>
          <t>B_std</t>
        </is>
      </c>
    </row>
    <row r="7">
      <c r="B7" s="8" t="n">
        <v>2.25</v>
      </c>
      <c r="C7" s="8" t="n">
        <v>1.31</v>
      </c>
      <c r="D7" s="8" t="n">
        <v>0.45</v>
      </c>
      <c r="E7" s="8" t="n">
        <v>-0.41</v>
      </c>
      <c r="F7" s="8" t="n">
        <v>-1.26</v>
      </c>
      <c r="G7" s="8" t="n">
        <v>-1.69</v>
      </c>
      <c r="J7" s="9" t="n">
        <v>-0.29</v>
      </c>
      <c r="K7" s="9" t="n">
        <v>0.07000000000000001</v>
      </c>
      <c r="L7" s="9" t="n">
        <v>0.42</v>
      </c>
      <c r="M7" s="9" t="n">
        <v>0.77</v>
      </c>
      <c r="N7" s="9" t="n">
        <v>1.12</v>
      </c>
      <c r="O7" s="9" t="n">
        <v>1.47</v>
      </c>
      <c r="R7" s="10" t="n">
        <v>-0.93</v>
      </c>
      <c r="S7" s="10" t="n">
        <v>-0.5</v>
      </c>
      <c r="T7" s="10" t="n">
        <v>-0.06</v>
      </c>
      <c r="U7" s="10" t="n">
        <v>0.37</v>
      </c>
      <c r="V7" s="10" t="n">
        <v>0.8100000000000001</v>
      </c>
      <c r="W7" s="10" t="n">
        <v>1.25</v>
      </c>
    </row>
    <row r="8">
      <c r="B8" s="8" t="n">
        <v>1.82</v>
      </c>
      <c r="C8" s="8" t="n">
        <v>0.96</v>
      </c>
      <c r="D8" s="8" t="n">
        <v>0.11</v>
      </c>
      <c r="E8" s="8" t="n">
        <v>-0.75</v>
      </c>
      <c r="F8" s="8" t="n">
        <v>-1.43</v>
      </c>
      <c r="G8" s="8" t="n">
        <v>-1.78</v>
      </c>
      <c r="J8" s="9" t="n">
        <v>-0.46</v>
      </c>
      <c r="K8" s="9" t="n">
        <v>-0.11</v>
      </c>
      <c r="L8" s="9" t="n">
        <v>0.24</v>
      </c>
      <c r="M8" s="9" t="n">
        <v>0.59</v>
      </c>
      <c r="N8" s="9" t="n">
        <v>0.9399999999999999</v>
      </c>
      <c r="O8" s="9" t="n">
        <v>1.29</v>
      </c>
      <c r="R8" s="10" t="n">
        <v>-0.76</v>
      </c>
      <c r="S8" s="10" t="n">
        <v>-0.32</v>
      </c>
      <c r="T8" s="10" t="n">
        <v>0.11</v>
      </c>
      <c r="U8" s="10" t="n">
        <v>0.55</v>
      </c>
      <c r="V8" s="10" t="n">
        <v>0.98</v>
      </c>
      <c r="W8" s="10" t="n">
        <v>1.42</v>
      </c>
    </row>
    <row r="9">
      <c r="B9" s="8" t="n">
        <v>1.48</v>
      </c>
      <c r="C9" s="8" t="n">
        <v>0.62</v>
      </c>
      <c r="D9" s="8" t="n">
        <v>-0.06</v>
      </c>
      <c r="E9" s="8" t="n">
        <v>-0.92</v>
      </c>
      <c r="F9" s="8" t="n">
        <v>-1.52</v>
      </c>
      <c r="G9" s="8" t="n">
        <v>-1.86</v>
      </c>
      <c r="J9" s="9" t="n">
        <v>-0.64</v>
      </c>
      <c r="K9" s="9" t="n">
        <v>-0.29</v>
      </c>
      <c r="L9" s="9" t="n">
        <v>0.07000000000000001</v>
      </c>
      <c r="M9" s="9" t="n">
        <v>0.42</v>
      </c>
      <c r="N9" s="9" t="n">
        <v>0.77</v>
      </c>
      <c r="O9" s="9" t="n">
        <v>1.12</v>
      </c>
      <c r="R9" s="10" t="n">
        <v>-0.58</v>
      </c>
      <c r="S9" s="10" t="n">
        <v>-0.15</v>
      </c>
      <c r="T9" s="10" t="n">
        <v>0.29</v>
      </c>
      <c r="U9" s="10" t="n">
        <v>0.72</v>
      </c>
      <c r="V9" s="10" t="n">
        <v>1.16</v>
      </c>
      <c r="W9" s="10" t="n">
        <v>1.59</v>
      </c>
    </row>
    <row r="10">
      <c r="B10" s="8" t="n">
        <v>1.14</v>
      </c>
      <c r="C10" s="8" t="n">
        <v>0.28</v>
      </c>
      <c r="D10" s="8" t="n">
        <v>-0.41</v>
      </c>
      <c r="E10" s="8" t="n">
        <v>-1.09</v>
      </c>
      <c r="F10" s="8" t="n">
        <v>-1.6</v>
      </c>
      <c r="G10" s="8" t="n">
        <v>-1.95</v>
      </c>
      <c r="J10" s="9" t="n">
        <v>-0.8100000000000001</v>
      </c>
      <c r="K10" s="9" t="n">
        <v>-0.46</v>
      </c>
      <c r="L10" s="9" t="n">
        <v>-0.11</v>
      </c>
      <c r="M10" s="9" t="n">
        <v>0.24</v>
      </c>
      <c r="N10" s="9" t="n">
        <v>0.59</v>
      </c>
      <c r="O10" s="9" t="n">
        <v>0.9399999999999999</v>
      </c>
      <c r="R10" s="10" t="n">
        <v>-0.41</v>
      </c>
      <c r="S10" s="10" t="n">
        <v>0.03</v>
      </c>
      <c r="T10" s="10" t="n">
        <v>0.46</v>
      </c>
      <c r="U10" s="10" t="n">
        <v>0.9</v>
      </c>
      <c r="V10" s="10" t="n">
        <v>1.33</v>
      </c>
      <c r="W10" s="10" t="n">
        <v>1.77</v>
      </c>
    </row>
    <row r="11">
      <c r="B11" s="8" t="n">
        <v>0.79</v>
      </c>
      <c r="C11" s="8" t="n">
        <v>-0.06</v>
      </c>
      <c r="D11" s="8" t="n">
        <v>-0.75</v>
      </c>
      <c r="E11" s="8" t="n">
        <v>-1.26</v>
      </c>
      <c r="F11" s="8" t="n">
        <v>-1.69</v>
      </c>
      <c r="G11" s="8" t="n">
        <v>-2.03</v>
      </c>
      <c r="J11" s="9" t="n">
        <v>-0.99</v>
      </c>
      <c r="K11" s="9" t="n">
        <v>-0.64</v>
      </c>
      <c r="L11" s="9" t="n">
        <v>-0.29</v>
      </c>
      <c r="M11" s="9" t="n">
        <v>0.07000000000000001</v>
      </c>
      <c r="N11" s="9" t="n">
        <v>0.42</v>
      </c>
      <c r="O11" s="9" t="n">
        <v>0.77</v>
      </c>
      <c r="R11" s="10" t="n">
        <v>-0.24</v>
      </c>
      <c r="S11" s="10" t="n">
        <v>0.2</v>
      </c>
      <c r="T11" s="10" t="n">
        <v>0.64</v>
      </c>
      <c r="U11" s="10" t="n">
        <v>1.07</v>
      </c>
      <c r="V11" s="10" t="n">
        <v>1.51</v>
      </c>
      <c r="W11" s="10" t="n">
        <v>1.94</v>
      </c>
    </row>
    <row r="12">
      <c r="B12" s="8" t="n">
        <v>0.45</v>
      </c>
      <c r="C12" s="8" t="n">
        <v>-0.41</v>
      </c>
      <c r="D12" s="8" t="n">
        <v>-1.09</v>
      </c>
      <c r="E12" s="8" t="n">
        <v>-1.43</v>
      </c>
      <c r="F12" s="8" t="n">
        <v>-1.78</v>
      </c>
      <c r="G12" s="8" t="n">
        <v>-2.12</v>
      </c>
      <c r="J12" s="9" t="n">
        <v>-1.16</v>
      </c>
      <c r="K12" s="9" t="n">
        <v>-0.8100000000000001</v>
      </c>
      <c r="L12" s="9" t="n">
        <v>-0.46</v>
      </c>
      <c r="M12" s="9" t="n">
        <v>-0.11</v>
      </c>
      <c r="N12" s="9" t="n">
        <v>0.24</v>
      </c>
      <c r="O12" s="9" t="n">
        <v>0.59</v>
      </c>
      <c r="R12" s="10" t="n">
        <v>-0.06</v>
      </c>
      <c r="S12" s="10" t="n">
        <v>0.37</v>
      </c>
      <c r="T12" s="10" t="n">
        <v>0.8100000000000001</v>
      </c>
      <c r="U12" s="10" t="n">
        <v>1.25</v>
      </c>
      <c r="V12" s="10" t="n">
        <v>1.68</v>
      </c>
      <c r="W12" s="10" t="n">
        <v>2.12</v>
      </c>
    </row>
    <row r="15">
      <c r="B15" s="3" t="inlineStr">
        <is>
          <t>ZERO PADDED (8×8, padding=1)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3" t="n"/>
    </row>
    <row r="17">
      <c r="B17" s="5" t="inlineStr">
        <is>
          <t>R_padded</t>
        </is>
      </c>
      <c r="L17" s="6" t="inlineStr">
        <is>
          <t>G_padded</t>
        </is>
      </c>
      <c r="V17" s="7" t="inlineStr">
        <is>
          <t>B_padded</t>
        </is>
      </c>
    </row>
    <row r="18"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</row>
    <row r="19">
      <c r="B19" s="14" t="n">
        <v>0</v>
      </c>
      <c r="C19" s="8" t="n">
        <v>2.25</v>
      </c>
      <c r="D19" s="8" t="n">
        <v>1.31</v>
      </c>
      <c r="E19" s="8" t="n">
        <v>0.45</v>
      </c>
      <c r="F19" s="8" t="n">
        <v>-0.41</v>
      </c>
      <c r="G19" s="8" t="n">
        <v>-1.26</v>
      </c>
      <c r="H19" s="8" t="n">
        <v>-1.69</v>
      </c>
      <c r="I19" s="14" t="n">
        <v>0</v>
      </c>
      <c r="L19" s="14" t="n">
        <v>0</v>
      </c>
      <c r="M19" s="9" t="n">
        <v>-0.29</v>
      </c>
      <c r="N19" s="9" t="n">
        <v>0.07000000000000001</v>
      </c>
      <c r="O19" s="9" t="n">
        <v>0.42</v>
      </c>
      <c r="P19" s="9" t="n">
        <v>0.77</v>
      </c>
      <c r="Q19" s="9" t="n">
        <v>1.12</v>
      </c>
      <c r="R19" s="9" t="n">
        <v>1.47</v>
      </c>
      <c r="S19" s="14" t="n">
        <v>0</v>
      </c>
      <c r="V19" s="14" t="n">
        <v>0</v>
      </c>
      <c r="W19" s="10" t="n">
        <v>-0.93</v>
      </c>
      <c r="X19" s="10" t="n">
        <v>-0.5</v>
      </c>
      <c r="Y19" s="10" t="n">
        <v>-0.06</v>
      </c>
      <c r="Z19" s="10" t="n">
        <v>0.37</v>
      </c>
      <c r="AA19" s="10" t="n">
        <v>0.8100000000000001</v>
      </c>
      <c r="AB19" s="10" t="n">
        <v>1.25</v>
      </c>
      <c r="AC19" s="14" t="n">
        <v>0</v>
      </c>
    </row>
    <row r="20">
      <c r="B20" s="14" t="n">
        <v>0</v>
      </c>
      <c r="C20" s="8" t="n">
        <v>1.82</v>
      </c>
      <c r="D20" s="8" t="n">
        <v>0.96</v>
      </c>
      <c r="E20" s="8" t="n">
        <v>0.11</v>
      </c>
      <c r="F20" s="8" t="n">
        <v>-0.75</v>
      </c>
      <c r="G20" s="8" t="n">
        <v>-1.43</v>
      </c>
      <c r="H20" s="8" t="n">
        <v>-1.78</v>
      </c>
      <c r="I20" s="14" t="n">
        <v>0</v>
      </c>
      <c r="L20" s="14" t="n">
        <v>0</v>
      </c>
      <c r="M20" s="9" t="n">
        <v>-0.46</v>
      </c>
      <c r="N20" s="9" t="n">
        <v>-0.11</v>
      </c>
      <c r="O20" s="9" t="n">
        <v>0.24</v>
      </c>
      <c r="P20" s="9" t="n">
        <v>0.59</v>
      </c>
      <c r="Q20" s="9" t="n">
        <v>0.9399999999999999</v>
      </c>
      <c r="R20" s="9" t="n">
        <v>1.29</v>
      </c>
      <c r="S20" s="14" t="n">
        <v>0</v>
      </c>
      <c r="V20" s="14" t="n">
        <v>0</v>
      </c>
      <c r="W20" s="10" t="n">
        <v>-0.76</v>
      </c>
      <c r="X20" s="10" t="n">
        <v>-0.32</v>
      </c>
      <c r="Y20" s="10" t="n">
        <v>0.11</v>
      </c>
      <c r="Z20" s="10" t="n">
        <v>0.55</v>
      </c>
      <c r="AA20" s="10" t="n">
        <v>0.98</v>
      </c>
      <c r="AB20" s="10" t="n">
        <v>1.42</v>
      </c>
      <c r="AC20" s="14" t="n">
        <v>0</v>
      </c>
    </row>
    <row r="21">
      <c r="B21" s="14" t="n">
        <v>0</v>
      </c>
      <c r="C21" s="8" t="n">
        <v>1.48</v>
      </c>
      <c r="D21" s="8" t="n">
        <v>0.62</v>
      </c>
      <c r="E21" s="8" t="n">
        <v>-0.06</v>
      </c>
      <c r="F21" s="8" t="n">
        <v>-0.92</v>
      </c>
      <c r="G21" s="8" t="n">
        <v>-1.52</v>
      </c>
      <c r="H21" s="8" t="n">
        <v>-1.86</v>
      </c>
      <c r="I21" s="14" t="n">
        <v>0</v>
      </c>
      <c r="L21" s="14" t="n">
        <v>0</v>
      </c>
      <c r="M21" s="9" t="n">
        <v>-0.64</v>
      </c>
      <c r="N21" s="9" t="n">
        <v>-0.29</v>
      </c>
      <c r="O21" s="9" t="n">
        <v>0.07000000000000001</v>
      </c>
      <c r="P21" s="9" t="n">
        <v>0.42</v>
      </c>
      <c r="Q21" s="9" t="n">
        <v>0.77</v>
      </c>
      <c r="R21" s="9" t="n">
        <v>1.12</v>
      </c>
      <c r="S21" s="14" t="n">
        <v>0</v>
      </c>
      <c r="V21" s="14" t="n">
        <v>0</v>
      </c>
      <c r="W21" s="10" t="n">
        <v>-0.58</v>
      </c>
      <c r="X21" s="10" t="n">
        <v>-0.15</v>
      </c>
      <c r="Y21" s="10" t="n">
        <v>0.29</v>
      </c>
      <c r="Z21" s="10" t="n">
        <v>0.72</v>
      </c>
      <c r="AA21" s="10" t="n">
        <v>1.16</v>
      </c>
      <c r="AB21" s="10" t="n">
        <v>1.59</v>
      </c>
      <c r="AC21" s="14" t="n">
        <v>0</v>
      </c>
    </row>
    <row r="22">
      <c r="B22" s="14" t="n">
        <v>0</v>
      </c>
      <c r="C22" s="8" t="n">
        <v>1.14</v>
      </c>
      <c r="D22" s="8" t="n">
        <v>0.28</v>
      </c>
      <c r="E22" s="8" t="n">
        <v>-0.41</v>
      </c>
      <c r="F22" s="8" t="n">
        <v>-1.09</v>
      </c>
      <c r="G22" s="8" t="n">
        <v>-1.6</v>
      </c>
      <c r="H22" s="8" t="n">
        <v>-1.95</v>
      </c>
      <c r="I22" s="14" t="n">
        <v>0</v>
      </c>
      <c r="L22" s="14" t="n">
        <v>0</v>
      </c>
      <c r="M22" s="9" t="n">
        <v>-0.8100000000000001</v>
      </c>
      <c r="N22" s="9" t="n">
        <v>-0.46</v>
      </c>
      <c r="O22" s="9" t="n">
        <v>-0.11</v>
      </c>
      <c r="P22" s="9" t="n">
        <v>0.24</v>
      </c>
      <c r="Q22" s="9" t="n">
        <v>0.59</v>
      </c>
      <c r="R22" s="9" t="n">
        <v>0.9399999999999999</v>
      </c>
      <c r="S22" s="14" t="n">
        <v>0</v>
      </c>
      <c r="V22" s="14" t="n">
        <v>0</v>
      </c>
      <c r="W22" s="10" t="n">
        <v>-0.41</v>
      </c>
      <c r="X22" s="10" t="n">
        <v>0.03</v>
      </c>
      <c r="Y22" s="10" t="n">
        <v>0.46</v>
      </c>
      <c r="Z22" s="10" t="n">
        <v>0.9</v>
      </c>
      <c r="AA22" s="10" t="n">
        <v>1.33</v>
      </c>
      <c r="AB22" s="10" t="n">
        <v>1.77</v>
      </c>
      <c r="AC22" s="14" t="n">
        <v>0</v>
      </c>
    </row>
    <row r="23">
      <c r="B23" s="14" t="n">
        <v>0</v>
      </c>
      <c r="C23" s="8" t="n">
        <v>0.79</v>
      </c>
      <c r="D23" s="8" t="n">
        <v>-0.06</v>
      </c>
      <c r="E23" s="8" t="n">
        <v>-0.75</v>
      </c>
      <c r="F23" s="8" t="n">
        <v>-1.26</v>
      </c>
      <c r="G23" s="8" t="n">
        <v>-1.69</v>
      </c>
      <c r="H23" s="8" t="n">
        <v>-2.03</v>
      </c>
      <c r="I23" s="14" t="n">
        <v>0</v>
      </c>
      <c r="L23" s="14" t="n">
        <v>0</v>
      </c>
      <c r="M23" s="9" t="n">
        <v>-0.99</v>
      </c>
      <c r="N23" s="9" t="n">
        <v>-0.64</v>
      </c>
      <c r="O23" s="9" t="n">
        <v>-0.29</v>
      </c>
      <c r="P23" s="9" t="n">
        <v>0.07000000000000001</v>
      </c>
      <c r="Q23" s="9" t="n">
        <v>0.42</v>
      </c>
      <c r="R23" s="9" t="n">
        <v>0.77</v>
      </c>
      <c r="S23" s="14" t="n">
        <v>0</v>
      </c>
      <c r="V23" s="14" t="n">
        <v>0</v>
      </c>
      <c r="W23" s="10" t="n">
        <v>-0.24</v>
      </c>
      <c r="X23" s="10" t="n">
        <v>0.2</v>
      </c>
      <c r="Y23" s="10" t="n">
        <v>0.64</v>
      </c>
      <c r="Z23" s="10" t="n">
        <v>1.07</v>
      </c>
      <c r="AA23" s="10" t="n">
        <v>1.51</v>
      </c>
      <c r="AB23" s="10" t="n">
        <v>1.94</v>
      </c>
      <c r="AC23" s="14" t="n">
        <v>0</v>
      </c>
    </row>
    <row r="24">
      <c r="B24" s="14" t="n">
        <v>0</v>
      </c>
      <c r="C24" s="8" t="n">
        <v>0.45</v>
      </c>
      <c r="D24" s="8" t="n">
        <v>-0.41</v>
      </c>
      <c r="E24" s="8" t="n">
        <v>-1.09</v>
      </c>
      <c r="F24" s="8" t="n">
        <v>-1.43</v>
      </c>
      <c r="G24" s="8" t="n">
        <v>-1.78</v>
      </c>
      <c r="H24" s="8" t="n">
        <v>-2.12</v>
      </c>
      <c r="I24" s="14" t="n">
        <v>0</v>
      </c>
      <c r="L24" s="14" t="n">
        <v>0</v>
      </c>
      <c r="M24" s="9" t="n">
        <v>-1.16</v>
      </c>
      <c r="N24" s="9" t="n">
        <v>-0.8100000000000001</v>
      </c>
      <c r="O24" s="9" t="n">
        <v>-0.46</v>
      </c>
      <c r="P24" s="9" t="n">
        <v>-0.11</v>
      </c>
      <c r="Q24" s="9" t="n">
        <v>0.24</v>
      </c>
      <c r="R24" s="9" t="n">
        <v>0.59</v>
      </c>
      <c r="S24" s="14" t="n">
        <v>0</v>
      </c>
      <c r="V24" s="14" t="n">
        <v>0</v>
      </c>
      <c r="W24" s="10" t="n">
        <v>-0.06</v>
      </c>
      <c r="X24" s="10" t="n">
        <v>0.37</v>
      </c>
      <c r="Y24" s="10" t="n">
        <v>0.8100000000000001</v>
      </c>
      <c r="Z24" s="10" t="n">
        <v>1.25</v>
      </c>
      <c r="AA24" s="10" t="n">
        <v>1.68</v>
      </c>
      <c r="AB24" s="10" t="n">
        <v>2.12</v>
      </c>
      <c r="AC24" s="14" t="n">
        <v>0</v>
      </c>
    </row>
    <row r="25"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</row>
    <row r="27">
      <c r="B27" s="14" t="inlineStr">
        <is>
          <t>(Gray = padding zeros)</t>
        </is>
      </c>
    </row>
    <row r="30">
      <c r="B30" s="4" t="inlineStr">
        <is>
          <t>KERNELS</t>
        </is>
      </c>
    </row>
    <row r="32">
      <c r="B32" s="5" t="inlineStr">
        <is>
          <t>K_R</t>
        </is>
      </c>
      <c r="G32" s="6" t="inlineStr">
        <is>
          <t>K_G</t>
        </is>
      </c>
      <c r="L32" s="7" t="inlineStr">
        <is>
          <t>K_B</t>
        </is>
      </c>
    </row>
    <row r="33">
      <c r="B33" s="8" t="n">
        <v>1</v>
      </c>
      <c r="C33" s="8" t="n">
        <v>0</v>
      </c>
      <c r="D33" s="8" t="n">
        <v>-1</v>
      </c>
      <c r="G33" s="9" t="n">
        <v>1</v>
      </c>
      <c r="H33" s="9" t="n">
        <v>2</v>
      </c>
      <c r="I33" s="9" t="n">
        <v>1</v>
      </c>
      <c r="L33" s="10" t="n">
        <v>0</v>
      </c>
      <c r="M33" s="10" t="n">
        <v>-1</v>
      </c>
      <c r="N33" s="10" t="n">
        <v>0</v>
      </c>
      <c r="Q33" s="2" t="inlineStr">
        <is>
          <t>bias = 0.0</t>
        </is>
      </c>
    </row>
    <row r="34">
      <c r="B34" s="8" t="n">
        <v>2</v>
      </c>
      <c r="C34" s="8" t="n">
        <v>0</v>
      </c>
      <c r="D34" s="8" t="n">
        <v>-2</v>
      </c>
      <c r="G34" s="9" t="n">
        <v>0</v>
      </c>
      <c r="H34" s="9" t="n">
        <v>0</v>
      </c>
      <c r="I34" s="9" t="n">
        <v>0</v>
      </c>
      <c r="L34" s="10" t="n">
        <v>-1</v>
      </c>
      <c r="M34" s="10" t="n">
        <v>4</v>
      </c>
      <c r="N34" s="10" t="n">
        <v>-1</v>
      </c>
    </row>
    <row r="35">
      <c r="B35" s="8" t="n">
        <v>1</v>
      </c>
      <c r="C35" s="8" t="n">
        <v>0</v>
      </c>
      <c r="D35" s="8" t="n">
        <v>-1</v>
      </c>
      <c r="G35" s="9" t="n">
        <v>-1</v>
      </c>
      <c r="H35" s="9" t="n">
        <v>-2</v>
      </c>
      <c r="I35" s="9" t="n">
        <v>-1</v>
      </c>
      <c r="L35" s="10" t="n">
        <v>0</v>
      </c>
      <c r="M35" s="10" t="n">
        <v>-1</v>
      </c>
      <c r="N35" s="10" t="n">
        <v>0</v>
      </c>
    </row>
    <row r="38">
      <c r="B38" s="4" t="inlineStr">
        <is>
          <t>CONVOLUTION RESULTS (each channel)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3" t="n"/>
    </row>
    <row r="39">
      <c r="B39" s="2" t="inlineStr">
        <is>
          <t>Formula: Conv = R_sum + G_sum + B_sum + bias</t>
        </is>
      </c>
    </row>
    <row r="41">
      <c r="B41" s="5" t="inlineStr">
        <is>
          <t>R_sum (6×6)</t>
        </is>
      </c>
      <c r="J41" s="6" t="inlineStr">
        <is>
          <t>G_sum (6×6)</t>
        </is>
      </c>
      <c r="R41" s="7" t="inlineStr">
        <is>
          <t>B_sum (6×6)</t>
        </is>
      </c>
    </row>
    <row r="42">
      <c r="B42" s="8" t="n">
        <v>-3.58</v>
      </c>
      <c r="C42" s="8" t="n">
        <v>5.31</v>
      </c>
      <c r="D42" s="8" t="n">
        <v>5.14</v>
      </c>
      <c r="E42" s="8" t="n">
        <v>4.97</v>
      </c>
      <c r="F42" s="8" t="n">
        <v>3.6</v>
      </c>
      <c r="G42" s="8" t="n">
        <v>-3.96</v>
      </c>
      <c r="J42" s="9" t="n">
        <v>1.03</v>
      </c>
      <c r="K42" s="9" t="n">
        <v>0.44</v>
      </c>
      <c r="L42" s="9" t="n">
        <v>-0.96</v>
      </c>
      <c r="M42" s="9" t="n">
        <v>-2.36</v>
      </c>
      <c r="N42" s="9" t="n">
        <v>-3.76</v>
      </c>
      <c r="O42" s="9" t="n">
        <v>-3.52</v>
      </c>
      <c r="R42" s="10" t="n">
        <v>-2.48</v>
      </c>
      <c r="S42" s="10" t="n">
        <v>-0.67</v>
      </c>
      <c r="T42" s="10" t="n">
        <v>-0.24</v>
      </c>
      <c r="U42" s="10" t="n">
        <v>0.2</v>
      </c>
      <c r="V42" s="10" t="n">
        <v>0.64</v>
      </c>
      <c r="W42" s="10" t="n">
        <v>2.75</v>
      </c>
    </row>
    <row r="43">
      <c r="B43" s="8" t="n">
        <v>-3.86</v>
      </c>
      <c r="C43" s="8" t="n">
        <v>6.76</v>
      </c>
      <c r="D43" s="8" t="n">
        <v>6.68</v>
      </c>
      <c r="E43" s="8" t="n">
        <v>6.25</v>
      </c>
      <c r="F43" s="8" t="n">
        <v>4.28</v>
      </c>
      <c r="G43" s="8" t="n">
        <v>-5.65</v>
      </c>
      <c r="J43" s="9" t="n">
        <v>1.05</v>
      </c>
      <c r="K43" s="9" t="n">
        <v>1.4</v>
      </c>
      <c r="L43" s="9" t="n">
        <v>1.4</v>
      </c>
      <c r="M43" s="9" t="n">
        <v>1.4</v>
      </c>
      <c r="N43" s="9" t="n">
        <v>1.4</v>
      </c>
      <c r="O43" s="9" t="n">
        <v>1.05</v>
      </c>
      <c r="R43" s="10" t="n">
        <v>-1.19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1.86</v>
      </c>
    </row>
    <row r="44">
      <c r="B44" s="8" t="n">
        <v>-2.49</v>
      </c>
      <c r="C44" s="8" t="n">
        <v>6.34</v>
      </c>
      <c r="D44" s="8" t="n">
        <v>6.16</v>
      </c>
      <c r="E44" s="8" t="n">
        <v>5.65</v>
      </c>
      <c r="F44" s="8" t="n">
        <v>3.77</v>
      </c>
      <c r="G44" s="8" t="n">
        <v>-6.07</v>
      </c>
      <c r="J44" s="9" t="n">
        <v>1.05</v>
      </c>
      <c r="K44" s="9" t="n">
        <v>1.4</v>
      </c>
      <c r="L44" s="9" t="n">
        <v>1.4</v>
      </c>
      <c r="M44" s="9" t="n">
        <v>1.4</v>
      </c>
      <c r="N44" s="9" t="n">
        <v>1.4</v>
      </c>
      <c r="O44" s="9" t="n">
        <v>1.05</v>
      </c>
      <c r="R44" s="10" t="n">
        <v>-1.02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2.03</v>
      </c>
    </row>
    <row r="45">
      <c r="B45" s="8" t="n">
        <v>-1.12</v>
      </c>
      <c r="C45" s="8" t="n">
        <v>6.16</v>
      </c>
      <c r="D45" s="8" t="n">
        <v>5.48</v>
      </c>
      <c r="E45" s="8" t="n">
        <v>4.79</v>
      </c>
      <c r="F45" s="8" t="n">
        <v>3.42</v>
      </c>
      <c r="G45" s="8" t="n">
        <v>-6.42</v>
      </c>
      <c r="J45" s="9" t="n">
        <v>1.05</v>
      </c>
      <c r="K45" s="9" t="n">
        <v>1.4</v>
      </c>
      <c r="L45" s="9" t="n">
        <v>1.4</v>
      </c>
      <c r="M45" s="9" t="n">
        <v>1.4</v>
      </c>
      <c r="N45" s="9" t="n">
        <v>1.4</v>
      </c>
      <c r="O45" s="9" t="n">
        <v>1.05</v>
      </c>
      <c r="R45" s="10" t="n">
        <v>-0.85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2.2</v>
      </c>
    </row>
    <row r="46">
      <c r="B46" s="8" t="n">
        <v>0.25</v>
      </c>
      <c r="C46" s="8" t="n">
        <v>6.16</v>
      </c>
      <c r="D46" s="8" t="n">
        <v>4.79</v>
      </c>
      <c r="E46" s="8" t="n">
        <v>3.77</v>
      </c>
      <c r="F46" s="8" t="n">
        <v>3.08</v>
      </c>
      <c r="G46" s="8" t="n">
        <v>-6.76</v>
      </c>
      <c r="J46" s="9" t="n">
        <v>1.05</v>
      </c>
      <c r="K46" s="9" t="n">
        <v>1.4</v>
      </c>
      <c r="L46" s="9" t="n">
        <v>1.4</v>
      </c>
      <c r="M46" s="9" t="n">
        <v>1.4</v>
      </c>
      <c r="N46" s="9" t="n">
        <v>1.4</v>
      </c>
      <c r="O46" s="9" t="n">
        <v>1.05</v>
      </c>
      <c r="R46" s="10" t="n">
        <v>-0.67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2.38</v>
      </c>
    </row>
    <row r="47">
      <c r="B47" s="8" t="n">
        <v>0.87</v>
      </c>
      <c r="C47" s="8" t="n">
        <v>4.62</v>
      </c>
      <c r="D47" s="8" t="n">
        <v>3.25</v>
      </c>
      <c r="E47" s="8" t="n">
        <v>2.31</v>
      </c>
      <c r="F47" s="8" t="n">
        <v>2.14</v>
      </c>
      <c r="G47" s="8" t="n">
        <v>-5.24</v>
      </c>
      <c r="J47" s="9" t="n">
        <v>-2.61</v>
      </c>
      <c r="K47" s="9" t="n">
        <v>-2.54</v>
      </c>
      <c r="L47" s="9" t="n">
        <v>-1.14</v>
      </c>
      <c r="M47" s="9" t="n">
        <v>0.26</v>
      </c>
      <c r="N47" s="9" t="n">
        <v>1.66</v>
      </c>
      <c r="O47" s="9" t="n">
        <v>1.95</v>
      </c>
      <c r="R47" s="10" t="n">
        <v>-0.38</v>
      </c>
      <c r="S47" s="10" t="n">
        <v>0.55</v>
      </c>
      <c r="T47" s="10" t="n">
        <v>0.98</v>
      </c>
      <c r="U47" s="10" t="n">
        <v>1.42</v>
      </c>
      <c r="V47" s="10" t="n">
        <v>1.86</v>
      </c>
      <c r="W47" s="10" t="n">
        <v>4.84</v>
      </c>
    </row>
    <row r="50">
      <c r="B50" s="4" t="inlineStr">
        <is>
          <t>OUTPUT: R_sum + G_sum + B_sum + bias = Conv (6×6)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3" t="n"/>
    </row>
    <row r="51">
      <c r="B51" s="15" t="n">
        <v>-5.02</v>
      </c>
      <c r="C51" s="15" t="n">
        <v>5.08</v>
      </c>
      <c r="D51" s="15" t="n">
        <v>3.94</v>
      </c>
      <c r="E51" s="15" t="n">
        <v>2.8</v>
      </c>
      <c r="F51" s="15" t="n">
        <v>0.47</v>
      </c>
      <c r="G51" s="15" t="n">
        <v>-4.73</v>
      </c>
      <c r="J51" s="1" t="inlineStr">
        <is>
          <t>Example: Conv(0,0)</t>
        </is>
      </c>
    </row>
    <row r="52">
      <c r="B52" s="15" t="n">
        <v>-4</v>
      </c>
      <c r="C52" s="15" t="n">
        <v>8.16</v>
      </c>
      <c r="D52" s="15" t="n">
        <v>8.08</v>
      </c>
      <c r="E52" s="15" t="n">
        <v>7.65</v>
      </c>
      <c r="F52" s="15" t="n">
        <v>5.68</v>
      </c>
      <c r="G52" s="15" t="n">
        <v>-2.74</v>
      </c>
      <c r="J52" s="2">
        <f> -3.58 + 1.03 + -2.48 + 0.0</f>
        <v/>
      </c>
    </row>
    <row r="53">
      <c r="B53" s="15" t="n">
        <v>-2.46</v>
      </c>
      <c r="C53" s="15" t="n">
        <v>7.74</v>
      </c>
      <c r="D53" s="15" t="n">
        <v>7.57</v>
      </c>
      <c r="E53" s="15" t="n">
        <v>7.05</v>
      </c>
      <c r="F53" s="15" t="n">
        <v>5.17</v>
      </c>
      <c r="G53" s="15" t="n">
        <v>-2.99</v>
      </c>
      <c r="J53" s="1">
        <f> -5.02</f>
        <v/>
      </c>
    </row>
    <row r="54">
      <c r="B54" s="15" t="n">
        <v>-0.91</v>
      </c>
      <c r="C54" s="15" t="n">
        <v>7.57</v>
      </c>
      <c r="D54" s="15" t="n">
        <v>6.88</v>
      </c>
      <c r="E54" s="15" t="n">
        <v>6.2</v>
      </c>
      <c r="F54" s="15" t="n">
        <v>4.83</v>
      </c>
      <c r="G54" s="15" t="n">
        <v>-3.16</v>
      </c>
    </row>
    <row r="55">
      <c r="B55" s="15" t="n">
        <v>0.63</v>
      </c>
      <c r="C55" s="15" t="n">
        <v>7.57</v>
      </c>
      <c r="D55" s="15" t="n">
        <v>6.2</v>
      </c>
      <c r="E55" s="15" t="n">
        <v>5.17</v>
      </c>
      <c r="F55" s="15" t="n">
        <v>4.48</v>
      </c>
      <c r="G55" s="15" t="n">
        <v>-3.33</v>
      </c>
    </row>
    <row r="56">
      <c r="B56" s="15" t="n">
        <v>-2.12</v>
      </c>
      <c r="C56" s="15" t="n">
        <v>2.63</v>
      </c>
      <c r="D56" s="15" t="n">
        <v>3.1</v>
      </c>
      <c r="E56" s="15" t="n">
        <v>3.99</v>
      </c>
      <c r="F56" s="15" t="n">
        <v>5.66</v>
      </c>
      <c r="G56" s="15" t="n">
        <v>1.55</v>
      </c>
    </row>
  </sheetData>
  <mergeCells count="5">
    <mergeCell ref="A1:J1"/>
    <mergeCell ref="B38:Z38"/>
    <mergeCell ref="B2:Z2"/>
    <mergeCell ref="B50:N50"/>
    <mergeCell ref="B15:Z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>
      <c r="A1" s="34" t="inlineStr">
        <is>
          <t>[Description] ReLU activation: max(0, x). Introduces nonlinearity while avoiding vanishing gradient for positive values.</t>
        </is>
      </c>
    </row>
    <row r="2">
      <c r="B2" s="16" t="inlineStr">
        <is>
          <t>ReLU: Conv (6×6) → ReLU (6×6)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</row>
    <row r="4">
      <c r="B4" s="4" t="inlineStr">
        <is>
          <t>INPUT (Conv Output)</t>
        </is>
      </c>
      <c r="J4" s="2" t="inlineStr">
        <is>
          <t>ReLU(x) = max(0, x)</t>
        </is>
      </c>
    </row>
    <row r="5">
      <c r="B5" s="8" t="n">
        <v>-5.02</v>
      </c>
      <c r="C5" s="15" t="n">
        <v>5.08</v>
      </c>
      <c r="D5" s="15" t="n">
        <v>3.94</v>
      </c>
      <c r="E5" s="15" t="n">
        <v>2.8</v>
      </c>
      <c r="F5" s="15" t="n">
        <v>0.47</v>
      </c>
      <c r="G5" s="8" t="n">
        <v>-4.73</v>
      </c>
      <c r="J5" s="2" t="inlineStr">
        <is>
          <t>Red = negative → 0</t>
        </is>
      </c>
    </row>
    <row r="6">
      <c r="B6" s="8" t="n">
        <v>-4</v>
      </c>
      <c r="C6" s="15" t="n">
        <v>8.16</v>
      </c>
      <c r="D6" s="15" t="n">
        <v>8.08</v>
      </c>
      <c r="E6" s="15" t="n">
        <v>7.65</v>
      </c>
      <c r="F6" s="15" t="n">
        <v>5.68</v>
      </c>
      <c r="G6" s="8" t="n">
        <v>-2.74</v>
      </c>
    </row>
    <row r="7">
      <c r="B7" s="8" t="n">
        <v>-2.46</v>
      </c>
      <c r="C7" s="15" t="n">
        <v>7.74</v>
      </c>
      <c r="D7" s="15" t="n">
        <v>7.57</v>
      </c>
      <c r="E7" s="15" t="n">
        <v>7.05</v>
      </c>
      <c r="F7" s="15" t="n">
        <v>5.17</v>
      </c>
      <c r="G7" s="8" t="n">
        <v>-2.99</v>
      </c>
    </row>
    <row r="8">
      <c r="B8" s="8" t="n">
        <v>-0.91</v>
      </c>
      <c r="C8" s="15" t="n">
        <v>7.57</v>
      </c>
      <c r="D8" s="15" t="n">
        <v>6.88</v>
      </c>
      <c r="E8" s="15" t="n">
        <v>6.2</v>
      </c>
      <c r="F8" s="15" t="n">
        <v>4.83</v>
      </c>
      <c r="G8" s="8" t="n">
        <v>-3.16</v>
      </c>
    </row>
    <row r="9">
      <c r="B9" s="15" t="n">
        <v>0.63</v>
      </c>
      <c r="C9" s="15" t="n">
        <v>7.57</v>
      </c>
      <c r="D9" s="15" t="n">
        <v>6.2</v>
      </c>
      <c r="E9" s="15" t="n">
        <v>5.17</v>
      </c>
      <c r="F9" s="15" t="n">
        <v>4.48</v>
      </c>
      <c r="G9" s="8" t="n">
        <v>-3.33</v>
      </c>
    </row>
    <row r="10">
      <c r="B10" s="8" t="n">
        <v>-2.12</v>
      </c>
      <c r="C10" s="15" t="n">
        <v>2.63</v>
      </c>
      <c r="D10" s="15" t="n">
        <v>3.1</v>
      </c>
      <c r="E10" s="15" t="n">
        <v>3.99</v>
      </c>
      <c r="F10" s="15" t="n">
        <v>5.66</v>
      </c>
      <c r="G10" s="15" t="n">
        <v>1.55</v>
      </c>
    </row>
    <row r="13">
      <c r="D13" s="1" t="inlineStr">
        <is>
          <t>↓</t>
        </is>
      </c>
    </row>
    <row r="15">
      <c r="B15" s="16" t="inlineStr">
        <is>
          <t>OUTPUT (ReLU)</t>
        </is>
      </c>
    </row>
    <row r="16">
      <c r="B16" s="17" t="n">
        <v>0</v>
      </c>
      <c r="C16" s="18" t="n">
        <v>5.08</v>
      </c>
      <c r="D16" s="18" t="n">
        <v>3.94</v>
      </c>
      <c r="E16" s="18" t="n">
        <v>2.8</v>
      </c>
      <c r="F16" s="18" t="n">
        <v>0.47</v>
      </c>
      <c r="G16" s="17" t="n">
        <v>0</v>
      </c>
    </row>
    <row r="17">
      <c r="B17" s="17" t="n">
        <v>0</v>
      </c>
      <c r="C17" s="18" t="n">
        <v>8.16</v>
      </c>
      <c r="D17" s="18" t="n">
        <v>8.08</v>
      </c>
      <c r="E17" s="18" t="n">
        <v>7.65</v>
      </c>
      <c r="F17" s="18" t="n">
        <v>5.68</v>
      </c>
      <c r="G17" s="17" t="n">
        <v>0</v>
      </c>
    </row>
    <row r="18">
      <c r="B18" s="17" t="n">
        <v>0</v>
      </c>
      <c r="C18" s="18" t="n">
        <v>7.74</v>
      </c>
      <c r="D18" s="18" t="n">
        <v>7.57</v>
      </c>
      <c r="E18" s="18" t="n">
        <v>7.05</v>
      </c>
      <c r="F18" s="18" t="n">
        <v>5.17</v>
      </c>
      <c r="G18" s="17" t="n">
        <v>0</v>
      </c>
    </row>
    <row r="19">
      <c r="B19" s="17" t="n">
        <v>0</v>
      </c>
      <c r="C19" s="18" t="n">
        <v>7.57</v>
      </c>
      <c r="D19" s="18" t="n">
        <v>6.88</v>
      </c>
      <c r="E19" s="18" t="n">
        <v>6.2</v>
      </c>
      <c r="F19" s="18" t="n">
        <v>4.83</v>
      </c>
      <c r="G19" s="17" t="n">
        <v>0</v>
      </c>
    </row>
    <row r="20">
      <c r="B20" s="18" t="n">
        <v>0.63</v>
      </c>
      <c r="C20" s="18" t="n">
        <v>7.57</v>
      </c>
      <c r="D20" s="18" t="n">
        <v>6.2</v>
      </c>
      <c r="E20" s="18" t="n">
        <v>5.17</v>
      </c>
      <c r="F20" s="18" t="n">
        <v>4.48</v>
      </c>
      <c r="G20" s="17" t="n">
        <v>0</v>
      </c>
    </row>
    <row r="21">
      <c r="B21" s="17" t="n">
        <v>0</v>
      </c>
      <c r="C21" s="18" t="n">
        <v>2.63</v>
      </c>
      <c r="D21" s="18" t="n">
        <v>3.1</v>
      </c>
      <c r="E21" s="18" t="n">
        <v>3.99</v>
      </c>
      <c r="F21" s="18" t="n">
        <v>5.66</v>
      </c>
      <c r="G21" s="18" t="n">
        <v>1.55</v>
      </c>
    </row>
  </sheetData>
  <mergeCells count="2">
    <mergeCell ref="A1:J1"/>
    <mergeCell ref="B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>
      <c r="A1" s="34" t="inlineStr">
        <is>
          <t>[Description] Max pooling: Downsamples by taking maximum in each region. Provides translation invariance and reduces computation.</t>
        </is>
      </c>
    </row>
    <row r="2">
      <c r="B2" s="16" t="inlineStr">
        <is>
          <t>MaxPool: ReLU (6×6) → Pool (3×3)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</row>
    <row r="4">
      <c r="B4" s="16" t="inlineStr">
        <is>
          <t>INPUT (ReLU Output)</t>
        </is>
      </c>
      <c r="J4" s="2" t="inlineStr">
        <is>
          <t>Pool: 2×2, Stride: 2</t>
        </is>
      </c>
    </row>
    <row r="5">
      <c r="B5" s="18" t="n">
        <v>0</v>
      </c>
      <c r="C5" s="18" t="n">
        <v>5.08</v>
      </c>
      <c r="D5" s="19" t="n">
        <v>3.94</v>
      </c>
      <c r="E5" s="19" t="n">
        <v>2.8</v>
      </c>
      <c r="F5" s="20" t="n">
        <v>0.47</v>
      </c>
      <c r="G5" s="20" t="n">
        <v>0</v>
      </c>
    </row>
    <row r="6">
      <c r="B6" s="18" t="n">
        <v>0</v>
      </c>
      <c r="C6" s="18" t="n">
        <v>8.16</v>
      </c>
      <c r="D6" s="19" t="n">
        <v>8.08</v>
      </c>
      <c r="E6" s="19" t="n">
        <v>7.65</v>
      </c>
      <c r="F6" s="20" t="n">
        <v>5.68</v>
      </c>
      <c r="G6" s="20" t="n">
        <v>0</v>
      </c>
    </row>
    <row r="7">
      <c r="B7" s="21" t="n">
        <v>0</v>
      </c>
      <c r="C7" s="21" t="n">
        <v>7.74</v>
      </c>
      <c r="D7" s="22" t="n">
        <v>7.57</v>
      </c>
      <c r="E7" s="22" t="n">
        <v>7.05</v>
      </c>
      <c r="F7" s="23" t="n">
        <v>5.17</v>
      </c>
      <c r="G7" s="23" t="n">
        <v>0</v>
      </c>
    </row>
    <row r="8">
      <c r="B8" s="21" t="n">
        <v>0</v>
      </c>
      <c r="C8" s="21" t="n">
        <v>7.57</v>
      </c>
      <c r="D8" s="22" t="n">
        <v>6.88</v>
      </c>
      <c r="E8" s="22" t="n">
        <v>6.2</v>
      </c>
      <c r="F8" s="23" t="n">
        <v>4.83</v>
      </c>
      <c r="G8" s="23" t="n">
        <v>0</v>
      </c>
    </row>
    <row r="9">
      <c r="B9" s="24" t="n">
        <v>0.63</v>
      </c>
      <c r="C9" s="24" t="n">
        <v>7.57</v>
      </c>
      <c r="D9" s="25" t="n">
        <v>6.2</v>
      </c>
      <c r="E9" s="25" t="n">
        <v>5.17</v>
      </c>
      <c r="F9" s="26" t="n">
        <v>4.48</v>
      </c>
      <c r="G9" s="26" t="n">
        <v>0</v>
      </c>
    </row>
    <row r="10">
      <c r="B10" s="24" t="n">
        <v>0</v>
      </c>
      <c r="C10" s="24" t="n">
        <v>2.63</v>
      </c>
      <c r="D10" s="25" t="n">
        <v>3.1</v>
      </c>
      <c r="E10" s="25" t="n">
        <v>3.99</v>
      </c>
      <c r="F10" s="26" t="n">
        <v>5.66</v>
      </c>
      <c r="G10" s="26" t="n">
        <v>1.55</v>
      </c>
    </row>
    <row r="13">
      <c r="D13" s="1" t="inlineStr">
        <is>
          <t>↓</t>
        </is>
      </c>
    </row>
    <row r="15">
      <c r="B15" s="11" t="inlineStr">
        <is>
          <t>OUTPUT (Pool 3×3)</t>
        </is>
      </c>
    </row>
    <row r="16">
      <c r="B16" s="18" t="n">
        <v>8.16</v>
      </c>
      <c r="C16" s="19" t="n">
        <v>8.08</v>
      </c>
      <c r="D16" s="20" t="n">
        <v>5.68</v>
      </c>
    </row>
    <row r="17">
      <c r="B17" s="21" t="n">
        <v>7.74</v>
      </c>
      <c r="C17" s="22" t="n">
        <v>7.57</v>
      </c>
      <c r="D17" s="23" t="n">
        <v>5.17</v>
      </c>
    </row>
    <row r="18">
      <c r="B18" s="24" t="n">
        <v>7.57</v>
      </c>
      <c r="C18" s="25" t="n">
        <v>6.2</v>
      </c>
      <c r="D18" s="26" t="n">
        <v>5.66</v>
      </c>
    </row>
  </sheetData>
  <mergeCells count="2">
    <mergeCell ref="A1:J1"/>
    <mergeCell ref="B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>
      <c r="A1" s="34" t="inlineStr">
        <is>
          <t>[Description] Fully connected layer: Flattens feature maps and computes final classification scores.</t>
        </is>
      </c>
    </row>
    <row r="2">
      <c r="B2" s="11" t="inlineStr">
        <is>
          <t>FC: Pool (3×3) → Flatten (9) → FC → Sigmoid → Loss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3" t="n"/>
    </row>
    <row r="4">
      <c r="B4" s="16" t="inlineStr">
        <is>
          <t>INPUT (Pool)</t>
        </is>
      </c>
      <c r="G4" s="2" t="inlineStr">
        <is>
          <t>→ Flatten →</t>
        </is>
      </c>
      <c r="J4" s="11" t="inlineStr">
        <is>
          <t>Vector (9)</t>
        </is>
      </c>
    </row>
    <row r="5">
      <c r="B5" s="18" t="n">
        <v>8.16</v>
      </c>
      <c r="C5" s="18" t="n">
        <v>8.08</v>
      </c>
      <c r="D5" s="18" t="n">
        <v>5.68</v>
      </c>
      <c r="J5" s="17" t="n">
        <v>8.16</v>
      </c>
      <c r="K5" s="17" t="n">
        <v>8.08</v>
      </c>
      <c r="L5" s="17" t="n">
        <v>5.68</v>
      </c>
      <c r="M5" s="17" t="n">
        <v>7.74</v>
      </c>
      <c r="N5" s="17" t="n">
        <v>7.57</v>
      </c>
    </row>
    <row r="6">
      <c r="B6" s="18" t="n">
        <v>7.74</v>
      </c>
      <c r="C6" s="18" t="n">
        <v>7.57</v>
      </c>
      <c r="D6" s="18" t="n">
        <v>5.17</v>
      </c>
      <c r="J6" s="17" t="n">
        <v>5.17</v>
      </c>
      <c r="K6" s="17" t="n">
        <v>7.57</v>
      </c>
      <c r="L6" s="17" t="n">
        <v>6.2</v>
      </c>
      <c r="M6" s="17" t="n">
        <v>5.66</v>
      </c>
    </row>
    <row r="7">
      <c r="B7" s="18" t="n">
        <v>7.57</v>
      </c>
      <c r="C7" s="18" t="n">
        <v>6.2</v>
      </c>
      <c r="D7" s="18" t="n">
        <v>5.66</v>
      </c>
    </row>
    <row r="9">
      <c r="B9" s="11" t="inlineStr">
        <is>
          <t>z = Σ(w×x) + b = 4.2656</t>
        </is>
      </c>
    </row>
    <row r="10">
      <c r="B10" s="11" t="inlineStr">
        <is>
          <t>y = σ(z) = 0.9862</t>
        </is>
      </c>
    </row>
    <row r="11">
      <c r="B11" s="11" t="inlineStr">
        <is>
          <t>Loss = 0.0139</t>
        </is>
      </c>
    </row>
  </sheetData>
  <mergeCells count="2">
    <mergeCell ref="B2:R2"/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4" t="inlineStr">
        <is>
          <t>[Description] CNN backpropagation: Gradients flow back through FC, unpooling (to max positions), ReLU mask, and conv (kernel gradients).</t>
        </is>
      </c>
    </row>
    <row r="2">
      <c r="B2" s="28" t="inlineStr">
        <is>
          <t>Backward Propagation: CNN Gradient Computation</t>
        </is>
      </c>
    </row>
    <row r="4">
      <c r="B4" s="29" t="inlineStr">
        <is>
          <t>Learning Rate: eta = 0.01</t>
        </is>
      </c>
    </row>
    <row r="6">
      <c r="B6" s="30" t="inlineStr">
        <is>
          <t>&gt;&gt;&gt; 1. Output Layer Gradient (BCE + Sigmoid)</t>
        </is>
      </c>
    </row>
    <row r="8">
      <c r="B8" t="inlineStr">
        <is>
          <t>y_pred = 0.9862, y_true = 1</t>
        </is>
      </c>
    </row>
    <row r="9">
      <c r="B9" s="31" t="inlineStr">
        <is>
          <t>For BCE + Sigmoid: dL/dz = y_pred - y_true</t>
        </is>
      </c>
    </row>
    <row r="10">
      <c r="B10" t="inlineStr">
        <is>
          <t>dL/dz = 0.9862 - 1 = -0.0138</t>
        </is>
      </c>
    </row>
    <row r="13">
      <c r="B13" s="30" t="inlineStr">
        <is>
          <t>&gt;&gt;&gt; 2. FC Layer Gradients (dL/dW = dL/dz * x)</t>
        </is>
      </c>
    </row>
    <row r="15">
      <c r="B15" s="29" t="inlineStr">
        <is>
          <t>Flattened Pool Input (x):</t>
        </is>
      </c>
    </row>
    <row r="16">
      <c r="B16" t="n">
        <v>8.16</v>
      </c>
      <c r="C16" t="n">
        <v>8.08</v>
      </c>
      <c r="D16" t="n">
        <v>5.68</v>
      </c>
      <c r="E16" t="n">
        <v>7.74</v>
      </c>
      <c r="F16" t="n">
        <v>7.57</v>
      </c>
      <c r="G16" t="n">
        <v>5.17</v>
      </c>
      <c r="H16" t="n">
        <v>7.57</v>
      </c>
      <c r="I16" t="n">
        <v>6.2</v>
      </c>
      <c r="J16" t="n">
        <v>5.66</v>
      </c>
    </row>
    <row r="18">
      <c r="B18" s="29" t="inlineStr">
        <is>
          <t>W_fc</t>
        </is>
      </c>
      <c r="E18" s="29" t="inlineStr">
        <is>
          <t>Original</t>
        </is>
      </c>
      <c r="H18" s="29" t="inlineStr">
        <is>
          <t>Gradient</t>
        </is>
      </c>
      <c r="K18" s="29" t="inlineStr">
        <is>
          <t>Updated</t>
        </is>
      </c>
    </row>
    <row r="19">
      <c r="B19" t="inlineStr">
        <is>
          <t>W[0]</t>
        </is>
      </c>
      <c r="E19" t="n">
        <v>0.08409999999999999</v>
      </c>
      <c r="H19" s="32" t="n">
        <v>-0.1126</v>
      </c>
      <c r="K19" s="33" t="n">
        <v>0.0852</v>
      </c>
    </row>
    <row r="20">
      <c r="B20" t="inlineStr">
        <is>
          <t>W[1]</t>
        </is>
      </c>
      <c r="E20" t="n">
        <v>0.08409999999999999</v>
      </c>
      <c r="H20" s="32" t="n">
        <v>-0.1115</v>
      </c>
      <c r="K20" s="33" t="n">
        <v>0.0852</v>
      </c>
    </row>
    <row r="21">
      <c r="B21" t="inlineStr">
        <is>
          <t>W[2]</t>
        </is>
      </c>
      <c r="E21" t="n">
        <v>0.08409999999999999</v>
      </c>
      <c r="H21" s="32" t="n">
        <v>-0.0784</v>
      </c>
      <c r="K21" s="33" t="n">
        <v>0.0849</v>
      </c>
    </row>
    <row r="22">
      <c r="B22" t="inlineStr">
        <is>
          <t>W[3]</t>
        </is>
      </c>
      <c r="E22" t="n">
        <v>0.08409999999999999</v>
      </c>
      <c r="H22" s="32" t="n">
        <v>-0.1068</v>
      </c>
      <c r="K22" s="33" t="n">
        <v>0.0852</v>
      </c>
    </row>
    <row r="23">
      <c r="B23" t="inlineStr">
        <is>
          <t>W[4]</t>
        </is>
      </c>
      <c r="E23" t="n">
        <v>0.08409999999999999</v>
      </c>
      <c r="H23" s="32" t="n">
        <v>-0.1045</v>
      </c>
      <c r="K23" s="33" t="n">
        <v>0.0851</v>
      </c>
    </row>
    <row r="24">
      <c r="B24" t="inlineStr">
        <is>
          <t>W[5]</t>
        </is>
      </c>
      <c r="E24" t="n">
        <v>0.0421</v>
      </c>
      <c r="H24" s="32" t="n">
        <v>-0.0713</v>
      </c>
      <c r="K24" s="33" t="n">
        <v>0.0428</v>
      </c>
    </row>
    <row r="25">
      <c r="B25" t="inlineStr">
        <is>
          <t>W[6]</t>
        </is>
      </c>
      <c r="E25" t="n">
        <v>0.0421</v>
      </c>
      <c r="H25" s="32" t="n">
        <v>-0.1045</v>
      </c>
      <c r="K25" s="33" t="n">
        <v>0.0431</v>
      </c>
    </row>
    <row r="26">
      <c r="B26" t="inlineStr">
        <is>
          <t>W[7]</t>
        </is>
      </c>
      <c r="E26" t="n">
        <v>0.0421</v>
      </c>
      <c r="H26" s="32" t="n">
        <v>-0.0856</v>
      </c>
      <c r="K26" s="33" t="n">
        <v>0.0429</v>
      </c>
    </row>
    <row r="27">
      <c r="B27" t="inlineStr">
        <is>
          <t>W[8]</t>
        </is>
      </c>
      <c r="E27" t="n">
        <v>0.0421</v>
      </c>
      <c r="H27" s="32" t="n">
        <v>-0.0781</v>
      </c>
      <c r="K27" s="33" t="n">
        <v>0.0428</v>
      </c>
    </row>
    <row r="29">
      <c r="B29" t="inlineStr">
        <is>
          <t>b_fc</t>
        </is>
      </c>
      <c r="E29" t="n">
        <v>0.1</v>
      </c>
      <c r="H29" s="32" t="n">
        <v>-0.0138</v>
      </c>
      <c r="K29" s="33" t="n">
        <v>0.1001</v>
      </c>
    </row>
    <row r="32">
      <c r="B32" s="30" t="inlineStr">
        <is>
          <t>&gt;&gt;&gt; 3. Gradient to Pool Layer (dL/dPool = dL/dz * W_fc)</t>
        </is>
      </c>
    </row>
    <row r="34">
      <c r="B34" t="inlineStr">
        <is>
          <t>dL/dPool (3x3):</t>
        </is>
      </c>
    </row>
    <row r="35">
      <c r="B35" s="32" t="n">
        <v>-0.001161</v>
      </c>
      <c r="C35" s="32" t="n">
        <v>-0.001161</v>
      </c>
      <c r="D35" s="32" t="n">
        <v>-0.001161</v>
      </c>
    </row>
    <row r="36">
      <c r="B36" s="32" t="n">
        <v>-0.001161</v>
      </c>
      <c r="C36" s="32" t="n">
        <v>-0.001161</v>
      </c>
      <c r="D36" s="32" t="n">
        <v>-0.00058</v>
      </c>
    </row>
    <row r="37">
      <c r="B37" s="32" t="n">
        <v>-0.00058</v>
      </c>
      <c r="C37" s="32" t="n">
        <v>-0.00058</v>
      </c>
      <c r="D37" s="32" t="n">
        <v>-0.00058</v>
      </c>
    </row>
    <row r="40">
      <c r="B40" s="30" t="inlineStr">
        <is>
          <t>&gt;&gt;&gt; 4. MaxPool Backward (Gradient routing to max positions)</t>
        </is>
      </c>
    </row>
    <row r="42">
      <c r="B42" t="inlineStr">
        <is>
          <t>MaxPool mask: gradient flows only to max positions in each 2x2 region</t>
        </is>
      </c>
    </row>
    <row r="44">
      <c r="B44" s="29" t="inlineStr">
        <is>
          <t>dL/dReLU (6x6):</t>
        </is>
      </c>
    </row>
    <row r="45"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n">
        <v>0</v>
      </c>
      <c r="C46" s="32" t="n">
        <v>-0.001161</v>
      </c>
      <c r="D46" s="32" t="n">
        <v>-0.001161</v>
      </c>
      <c r="E46" t="n">
        <v>0</v>
      </c>
      <c r="F46" s="32" t="n">
        <v>-0.001161</v>
      </c>
      <c r="G46" t="n">
        <v>0</v>
      </c>
    </row>
    <row r="47">
      <c r="B47" t="n">
        <v>0</v>
      </c>
      <c r="C47" s="32" t="n">
        <v>-0.001161</v>
      </c>
      <c r="D47" s="32" t="n">
        <v>-0.001161</v>
      </c>
      <c r="E47" t="n">
        <v>0</v>
      </c>
      <c r="F47" s="32" t="n">
        <v>-0.00058</v>
      </c>
      <c r="G47" t="n">
        <v>0</v>
      </c>
    </row>
    <row r="48"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n">
        <v>0</v>
      </c>
      <c r="C49" s="32" t="n">
        <v>-0.00058</v>
      </c>
      <c r="D49" s="32" t="n">
        <v>-0.00058</v>
      </c>
      <c r="E49" t="n">
        <v>0</v>
      </c>
      <c r="F49" t="n">
        <v>0</v>
      </c>
      <c r="G49" t="n">
        <v>0</v>
      </c>
    </row>
    <row r="50">
      <c r="B50" t="n">
        <v>0</v>
      </c>
      <c r="C50" t="n">
        <v>0</v>
      </c>
      <c r="D50" t="n">
        <v>0</v>
      </c>
      <c r="E50" t="n">
        <v>0</v>
      </c>
      <c r="F50" s="32" t="n">
        <v>-0.00058</v>
      </c>
      <c r="G50" t="n">
        <v>0</v>
      </c>
    </row>
    <row r="53">
      <c r="B53" s="30" t="inlineStr">
        <is>
          <t>&gt;&gt;&gt; 5. ReLU Backward (dL/dConv = dL/dReLU * ReLU'(z))</t>
        </is>
      </c>
    </row>
    <row r="55">
      <c r="B55" s="31" t="inlineStr">
        <is>
          <t>ReLU'(z) = 1 if z &gt; 0, else 0</t>
        </is>
      </c>
    </row>
    <row r="57">
      <c r="B57" s="29" t="inlineStr">
        <is>
          <t>dL/dConv (6x6):</t>
        </is>
      </c>
    </row>
    <row r="58"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B59" t="n">
        <v>0</v>
      </c>
      <c r="C59" s="32" t="n">
        <v>-0.001161</v>
      </c>
      <c r="D59" s="32" t="n">
        <v>-0.001161</v>
      </c>
      <c r="E59" t="n">
        <v>0</v>
      </c>
      <c r="F59" s="32" t="n">
        <v>-0.001161</v>
      </c>
      <c r="G59" t="n">
        <v>0</v>
      </c>
    </row>
    <row r="60">
      <c r="B60" t="n">
        <v>0</v>
      </c>
      <c r="C60" s="32" t="n">
        <v>-0.001161</v>
      </c>
      <c r="D60" s="32" t="n">
        <v>-0.001161</v>
      </c>
      <c r="E60" t="n">
        <v>0</v>
      </c>
      <c r="F60" s="32" t="n">
        <v>-0.00058</v>
      </c>
      <c r="G60" t="n">
        <v>0</v>
      </c>
    </row>
    <row r="61"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n">
        <v>0</v>
      </c>
      <c r="C62" s="32" t="n">
        <v>-0.00058</v>
      </c>
      <c r="D62" s="32" t="n">
        <v>-0.00058</v>
      </c>
      <c r="E62" t="n">
        <v>0</v>
      </c>
      <c r="F62" t="n">
        <v>0</v>
      </c>
      <c r="G62" t="n">
        <v>0</v>
      </c>
    </row>
    <row r="63">
      <c r="B63" t="n">
        <v>0</v>
      </c>
      <c r="C63" t="n">
        <v>0</v>
      </c>
      <c r="D63" t="n">
        <v>0</v>
      </c>
      <c r="E63" t="n">
        <v>0</v>
      </c>
      <c r="F63" s="32" t="n">
        <v>-0.00058</v>
      </c>
      <c r="G63" t="n">
        <v>0</v>
      </c>
    </row>
    <row r="66">
      <c r="B66" s="30" t="inlineStr">
        <is>
          <t>&gt;&gt;&gt; 6. Convolution Backward (Kernel Gradients)</t>
        </is>
      </c>
    </row>
    <row r="68">
      <c r="B68" s="31" t="inlineStr">
        <is>
          <t>dL/dK = conv(padded_input, dL/dConv)</t>
        </is>
      </c>
    </row>
    <row r="70">
      <c r="B70" s="29" t="inlineStr">
        <is>
          <t>K_R (Original)</t>
        </is>
      </c>
      <c r="G70" s="29" t="inlineStr">
        <is>
          <t>dL/dK_R</t>
        </is>
      </c>
      <c r="L70" s="29" t="inlineStr">
        <is>
          <t>K_R (Updated)</t>
        </is>
      </c>
    </row>
    <row r="71">
      <c r="B71" t="n">
        <v>1</v>
      </c>
      <c r="C71" t="n">
        <v>0</v>
      </c>
      <c r="D71" t="n">
        <v>-1</v>
      </c>
      <c r="G71" s="32" t="n">
        <v>-0.00654</v>
      </c>
      <c r="H71" s="32" t="n">
        <v>6.4e-05</v>
      </c>
      <c r="I71" s="32" t="n">
        <v>0.005739</v>
      </c>
      <c r="L71" s="33" t="n">
        <v>1.0001</v>
      </c>
      <c r="M71" s="33" t="n">
        <v>0</v>
      </c>
      <c r="N71" s="33" t="n">
        <v>-1.0001</v>
      </c>
    </row>
    <row r="72">
      <c r="B72" t="n">
        <v>2</v>
      </c>
      <c r="C72" t="n">
        <v>0</v>
      </c>
      <c r="D72" t="n">
        <v>-2</v>
      </c>
      <c r="G72" s="32" t="n">
        <v>-0.003853</v>
      </c>
      <c r="H72" s="32" t="n">
        <v>0.002153</v>
      </c>
      <c r="I72" s="32" t="n">
        <v>0.007422</v>
      </c>
      <c r="L72" s="33" t="n">
        <v>2</v>
      </c>
      <c r="M72" s="33" t="n">
        <v>0</v>
      </c>
      <c r="N72" s="33" t="n">
        <v>-2.0001</v>
      </c>
    </row>
    <row r="73">
      <c r="B73" t="n">
        <v>1</v>
      </c>
      <c r="C73" t="n">
        <v>0</v>
      </c>
      <c r="D73" t="n">
        <v>-1</v>
      </c>
      <c r="G73" s="32" t="n">
        <v>-0.002408</v>
      </c>
      <c r="H73" s="32" t="n">
        <v>0.003064</v>
      </c>
      <c r="I73" s="32" t="n">
        <v>0.007631</v>
      </c>
      <c r="L73" s="33" t="n">
        <v>1</v>
      </c>
      <c r="M73" s="33" t="n">
        <v>0</v>
      </c>
      <c r="N73" s="33" t="n">
        <v>-1.0001</v>
      </c>
    </row>
    <row r="75">
      <c r="B75" s="29" t="inlineStr">
        <is>
          <t>K_G (Original)</t>
        </is>
      </c>
      <c r="G75" s="29" t="inlineStr">
        <is>
          <t>dL/dK_G</t>
        </is>
      </c>
      <c r="L75" s="29" t="inlineStr">
        <is>
          <t>K_G (Updated)</t>
        </is>
      </c>
    </row>
    <row r="76">
      <c r="B76" t="n">
        <v>1</v>
      </c>
      <c r="C76" t="n">
        <v>2</v>
      </c>
      <c r="D76" t="n">
        <v>1</v>
      </c>
      <c r="G76" s="32" t="n">
        <v>0.000377</v>
      </c>
      <c r="H76" s="32" t="n">
        <v>-0.002478</v>
      </c>
      <c r="I76" s="32" t="n">
        <v>-0.005321</v>
      </c>
      <c r="L76" s="33" t="n">
        <v>1</v>
      </c>
      <c r="M76" s="33" t="n">
        <v>2</v>
      </c>
      <c r="N76" s="33" t="n">
        <v>1.0001</v>
      </c>
    </row>
    <row r="77">
      <c r="B77" t="n">
        <v>0</v>
      </c>
      <c r="C77" t="n">
        <v>0</v>
      </c>
      <c r="D77" t="n">
        <v>0</v>
      </c>
      <c r="G77" s="32" t="n">
        <v>0.001822</v>
      </c>
      <c r="H77" s="32" t="n">
        <v>-0.001033</v>
      </c>
      <c r="I77" s="32" t="n">
        <v>-0.003894</v>
      </c>
      <c r="L77" s="33" t="n">
        <v>0</v>
      </c>
      <c r="M77" s="33" t="n">
        <v>0</v>
      </c>
      <c r="N77" s="33" t="n">
        <v>0</v>
      </c>
    </row>
    <row r="78">
      <c r="B78" t="n">
        <v>-1</v>
      </c>
      <c r="C78" t="n">
        <v>-2</v>
      </c>
      <c r="D78" t="n">
        <v>-1</v>
      </c>
      <c r="G78" s="32" t="n">
        <v>0.00307</v>
      </c>
      <c r="H78" s="32" t="n">
        <v>0.000418</v>
      </c>
      <c r="I78" s="32" t="n">
        <v>-0.002234</v>
      </c>
      <c r="L78" s="33" t="n">
        <v>-1</v>
      </c>
      <c r="M78" s="33" t="n">
        <v>-2</v>
      </c>
      <c r="N78" s="33" t="n">
        <v>-1</v>
      </c>
    </row>
    <row r="80">
      <c r="B80" s="29" t="inlineStr">
        <is>
          <t>K_B (Original)</t>
        </is>
      </c>
      <c r="G80" s="29" t="inlineStr">
        <is>
          <t>dL/dK_B</t>
        </is>
      </c>
      <c r="L80" s="29" t="inlineStr">
        <is>
          <t>K_B (Updated)</t>
        </is>
      </c>
    </row>
    <row r="81">
      <c r="B81" t="n">
        <v>0</v>
      </c>
      <c r="C81" t="n">
        <v>-1</v>
      </c>
      <c r="D81" t="n">
        <v>0</v>
      </c>
      <c r="G81" s="32" t="n">
        <v>0.001764</v>
      </c>
      <c r="H81" s="32" t="n">
        <v>-0.001776</v>
      </c>
      <c r="I81" s="32" t="n">
        <v>-0.005316</v>
      </c>
      <c r="L81" s="33" t="n">
        <v>0</v>
      </c>
      <c r="M81" s="33" t="n">
        <v>-1</v>
      </c>
      <c r="N81" s="33" t="n">
        <v>0.0001</v>
      </c>
    </row>
    <row r="82">
      <c r="B82" t="n">
        <v>-1</v>
      </c>
      <c r="C82" t="n">
        <v>4</v>
      </c>
      <c r="D82" t="n">
        <v>-1</v>
      </c>
      <c r="G82" s="32" t="n">
        <v>0.000342</v>
      </c>
      <c r="H82" s="32" t="n">
        <v>-0.003192</v>
      </c>
      <c r="I82" s="32" t="n">
        <v>-0.006732</v>
      </c>
      <c r="L82" s="33" t="n">
        <v>-1</v>
      </c>
      <c r="M82" s="33" t="n">
        <v>4</v>
      </c>
      <c r="N82" s="33" t="n">
        <v>-0.9999</v>
      </c>
    </row>
    <row r="83">
      <c r="B83" t="n">
        <v>0</v>
      </c>
      <c r="C83" t="n">
        <v>-1</v>
      </c>
      <c r="D83" t="n">
        <v>0</v>
      </c>
      <c r="G83" s="32" t="n">
        <v>-0.00025</v>
      </c>
      <c r="H83" s="32" t="n">
        <v>-0.003534</v>
      </c>
      <c r="I83" s="32" t="n">
        <v>-0.006819</v>
      </c>
      <c r="L83" s="33" t="n">
        <v>0</v>
      </c>
      <c r="M83" s="33" t="n">
        <v>-1</v>
      </c>
      <c r="N83" s="33" t="n">
        <v>0.0001</v>
      </c>
    </row>
    <row r="86">
      <c r="B86" s="29" t="inlineStr">
        <is>
          <t>Conv Bias:</t>
        </is>
      </c>
    </row>
    <row r="87">
      <c r="B87" t="inlineStr">
        <is>
          <t>Original</t>
        </is>
      </c>
      <c r="D87" t="n">
        <v>0</v>
      </c>
      <c r="F87" t="inlineStr">
        <is>
          <t>Gradient</t>
        </is>
      </c>
      <c r="H87" s="32" t="n">
        <v>-0.008123999999999999</v>
      </c>
      <c r="J87" t="inlineStr">
        <is>
          <t>Updated</t>
        </is>
      </c>
      <c r="L87" s="33" t="n">
        <v>8.1e-05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34" t="inlineStr">
        <is>
          <t>[Description] Reference solutions for self-checking your calculations.</t>
        </is>
      </c>
    </row>
    <row r="2">
      <c r="B2" s="1">
        <f>== Answer Key ===</f>
        <v/>
      </c>
    </row>
    <row r="4">
      <c r="B4" s="1" t="inlineStr">
        <is>
          <t>Conv (6×6):</t>
        </is>
      </c>
    </row>
    <row r="5">
      <c r="B5" s="15" t="n">
        <v>-5.02</v>
      </c>
      <c r="C5" s="15" t="n">
        <v>5.08</v>
      </c>
      <c r="D5" s="15" t="n">
        <v>3.94</v>
      </c>
      <c r="E5" s="15" t="n">
        <v>2.8</v>
      </c>
      <c r="F5" s="15" t="n">
        <v>0.47</v>
      </c>
      <c r="G5" s="15" t="n">
        <v>-4.73</v>
      </c>
    </row>
    <row r="6">
      <c r="B6" s="15" t="n">
        <v>-4</v>
      </c>
      <c r="C6" s="15" t="n">
        <v>8.16</v>
      </c>
      <c r="D6" s="15" t="n">
        <v>8.08</v>
      </c>
      <c r="E6" s="15" t="n">
        <v>7.65</v>
      </c>
      <c r="F6" s="15" t="n">
        <v>5.68</v>
      </c>
      <c r="G6" s="15" t="n">
        <v>-2.74</v>
      </c>
    </row>
    <row r="7">
      <c r="B7" s="15" t="n">
        <v>-2.46</v>
      </c>
      <c r="C7" s="15" t="n">
        <v>7.74</v>
      </c>
      <c r="D7" s="15" t="n">
        <v>7.57</v>
      </c>
      <c r="E7" s="15" t="n">
        <v>7.05</v>
      </c>
      <c r="F7" s="15" t="n">
        <v>5.17</v>
      </c>
      <c r="G7" s="15" t="n">
        <v>-2.99</v>
      </c>
    </row>
    <row r="8">
      <c r="B8" s="15" t="n">
        <v>-0.91</v>
      </c>
      <c r="C8" s="15" t="n">
        <v>7.57</v>
      </c>
      <c r="D8" s="15" t="n">
        <v>6.88</v>
      </c>
      <c r="E8" s="15" t="n">
        <v>6.2</v>
      </c>
      <c r="F8" s="15" t="n">
        <v>4.83</v>
      </c>
      <c r="G8" s="15" t="n">
        <v>-3.16</v>
      </c>
    </row>
    <row r="9">
      <c r="B9" s="15" t="n">
        <v>0.63</v>
      </c>
      <c r="C9" s="15" t="n">
        <v>7.57</v>
      </c>
      <c r="D9" s="15" t="n">
        <v>6.2</v>
      </c>
      <c r="E9" s="15" t="n">
        <v>5.17</v>
      </c>
      <c r="F9" s="15" t="n">
        <v>4.48</v>
      </c>
      <c r="G9" s="15" t="n">
        <v>-3.33</v>
      </c>
    </row>
    <row r="10">
      <c r="B10" s="15" t="n">
        <v>-2.12</v>
      </c>
      <c r="C10" s="15" t="n">
        <v>2.63</v>
      </c>
      <c r="D10" s="15" t="n">
        <v>3.1</v>
      </c>
      <c r="E10" s="15" t="n">
        <v>3.99</v>
      </c>
      <c r="F10" s="15" t="n">
        <v>5.66</v>
      </c>
      <c r="G10" s="15" t="n">
        <v>1.55</v>
      </c>
    </row>
    <row r="12">
      <c r="B12" s="1" t="inlineStr">
        <is>
          <t>ReLU (6×6):</t>
        </is>
      </c>
    </row>
    <row r="13">
      <c r="B13" s="18" t="n">
        <v>0</v>
      </c>
      <c r="C13" s="18" t="n">
        <v>5.08</v>
      </c>
      <c r="D13" s="18" t="n">
        <v>3.94</v>
      </c>
      <c r="E13" s="18" t="n">
        <v>2.8</v>
      </c>
      <c r="F13" s="18" t="n">
        <v>0.47</v>
      </c>
      <c r="G13" s="18" t="n">
        <v>0</v>
      </c>
    </row>
    <row r="14">
      <c r="B14" s="18" t="n">
        <v>0</v>
      </c>
      <c r="C14" s="18" t="n">
        <v>8.16</v>
      </c>
      <c r="D14" s="18" t="n">
        <v>8.08</v>
      </c>
      <c r="E14" s="18" t="n">
        <v>7.65</v>
      </c>
      <c r="F14" s="18" t="n">
        <v>5.68</v>
      </c>
      <c r="G14" s="18" t="n">
        <v>0</v>
      </c>
    </row>
    <row r="15">
      <c r="B15" s="18" t="n">
        <v>0</v>
      </c>
      <c r="C15" s="18" t="n">
        <v>7.74</v>
      </c>
      <c r="D15" s="18" t="n">
        <v>7.57</v>
      </c>
      <c r="E15" s="18" t="n">
        <v>7.05</v>
      </c>
      <c r="F15" s="18" t="n">
        <v>5.17</v>
      </c>
      <c r="G15" s="18" t="n">
        <v>0</v>
      </c>
    </row>
    <row r="16">
      <c r="B16" s="18" t="n">
        <v>0</v>
      </c>
      <c r="C16" s="18" t="n">
        <v>7.57</v>
      </c>
      <c r="D16" s="18" t="n">
        <v>6.88</v>
      </c>
      <c r="E16" s="18" t="n">
        <v>6.2</v>
      </c>
      <c r="F16" s="18" t="n">
        <v>4.83</v>
      </c>
      <c r="G16" s="18" t="n">
        <v>0</v>
      </c>
    </row>
    <row r="17">
      <c r="B17" s="18" t="n">
        <v>0.63</v>
      </c>
      <c r="C17" s="18" t="n">
        <v>7.57</v>
      </c>
      <c r="D17" s="18" t="n">
        <v>6.2</v>
      </c>
      <c r="E17" s="18" t="n">
        <v>5.17</v>
      </c>
      <c r="F17" s="18" t="n">
        <v>4.48</v>
      </c>
      <c r="G17" s="18" t="n">
        <v>0</v>
      </c>
    </row>
    <row r="18">
      <c r="B18" s="18" t="n">
        <v>0</v>
      </c>
      <c r="C18" s="18" t="n">
        <v>2.63</v>
      </c>
      <c r="D18" s="18" t="n">
        <v>3.1</v>
      </c>
      <c r="E18" s="18" t="n">
        <v>3.99</v>
      </c>
      <c r="F18" s="18" t="n">
        <v>5.66</v>
      </c>
      <c r="G18" s="18" t="n">
        <v>1.55</v>
      </c>
    </row>
    <row r="20">
      <c r="B20" s="1" t="inlineStr">
        <is>
          <t>Pool (3×3):</t>
        </is>
      </c>
    </row>
    <row r="21">
      <c r="B21" s="17" t="n">
        <v>8.16</v>
      </c>
      <c r="C21" s="17" t="n">
        <v>8.08</v>
      </c>
      <c r="D21" s="17" t="n">
        <v>5.68</v>
      </c>
    </row>
    <row r="22">
      <c r="B22" s="17" t="n">
        <v>7.74</v>
      </c>
      <c r="C22" s="17" t="n">
        <v>7.57</v>
      </c>
      <c r="D22" s="17" t="n">
        <v>5.17</v>
      </c>
    </row>
    <row r="23">
      <c r="B23" s="17" t="n">
        <v>7.57</v>
      </c>
      <c r="C23" s="17" t="n">
        <v>6.2</v>
      </c>
      <c r="D23" s="17" t="n">
        <v>5.66</v>
      </c>
    </row>
    <row r="25">
      <c r="B25" s="2" t="inlineStr">
        <is>
          <t>z=4.2656, y=0.9862, Loss=0.0139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2026-01-20T04:42:17Z</dcterms:created>
  <dcterms:modified xmlns:dcterms="http://purl.org/dc/terms/" xmlns:xsi="http://www.w3.org/2001/XMLSchema-instance" xsi:type="dcterms:W3CDTF">2026-01-29T02:07:45Z</dcterms:modified>
</cp:coreProperties>
</file>