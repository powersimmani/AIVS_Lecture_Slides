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6"/>
  <workbookPr/>
  <mc:AlternateContent xmlns:mc="http://schemas.openxmlformats.org/markup-compatibility/2006">
    <mc:Choice Requires="x15">
      <x15ac:absPath xmlns:x15ac="http://schemas.microsoft.com/office/spreadsheetml/2010/11/ac" url="/Users/jihwankim/Downloads/Excel-worksheets 2/"/>
    </mc:Choice>
  </mc:AlternateContent>
  <xr:revisionPtr revIDLastSave="0" documentId="8_{97ED5361-96AA-7C4B-8D8F-0C0B83600468}" xr6:coauthVersionLast="47" xr6:coauthVersionMax="47" xr10:uidLastSave="{00000000-0000-0000-0000-000000000000}"/>
  <bookViews>
    <workbookView xWindow="4300" yWindow="680" windowWidth="29900" windowHeight="19580" activeTab="6" xr2:uid="{00000000-000D-0000-FFFF-FFFF00000000}"/>
  </bookViews>
  <sheets>
    <sheet name="Overview" sheetId="1" r:id="rId1"/>
    <sheet name="Preprocessing" sheetId="2" r:id="rId2"/>
    <sheet name="Convolution" sheetId="3" r:id="rId3"/>
    <sheet name="ReLU" sheetId="4" r:id="rId4"/>
    <sheet name="MaxPool" sheetId="5" r:id="rId5"/>
    <sheet name="FC_Output" sheetId="6" r:id="rId6"/>
    <sheet name="Backward" sheetId="7" r:id="rId7"/>
    <sheet name="Answer_Key" sheetId="8" r:id="rId8"/>
  </sheets>
  <calcPr calcId="191029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53" i="3" l="1"/>
  <c r="J52" i="3"/>
</calcChain>
</file>

<file path=xl/sharedStrings.xml><?xml version="1.0" encoding="utf-8"?>
<sst xmlns="http://schemas.openxmlformats.org/spreadsheetml/2006/main" count="141" uniqueCount="124">
  <si>
    <t>[Description] Convolutional Neural Network (CNN) - specialized architecture for image processing using local connectivity and weight sharing.</t>
  </si>
  <si>
    <t>CNN Forward Propagation with Zero Padding</t>
  </si>
  <si>
    <t>RGB(0-255) → Normalize → Standardize → ZeroPad → Conv2D → ReLU → MaxPool → FC → Sigmoid</t>
  </si>
  <si>
    <t xml:space="preserve">  6×6×3   →   6×6×3  →   6×6×3   →  8×8×3  →   6×6  →  6×6  →   3×3   →  1  →    1</t>
  </si>
  <si>
    <t>Zero Padding (p=1): Input preserved! 6×6 → 6×6</t>
  </si>
  <si>
    <t>Kernels</t>
  </si>
  <si>
    <t>K_R</t>
  </si>
  <si>
    <t>K_G</t>
  </si>
  <si>
    <t>K_B</t>
  </si>
  <si>
    <t>bias = 0.0</t>
  </si>
  <si>
    <t>Standardization (Z-score normalization) is critical for neural network training:</t>
  </si>
  <si>
    <t>1. Improves Training Stability:</t>
  </si>
  <si>
    <t xml:space="preserve">   • Ensures all input features have similar scales (mean=0, std=1)</t>
  </si>
  <si>
    <t xml:space="preserve">   • Prevents features with large values from dominating the learning process</t>
  </si>
  <si>
    <t>2. Prevents Gradient Vanishing/Exploding:</t>
  </si>
  <si>
    <t xml:space="preserve">   • Large input values can cause very large or very small gradients</t>
  </si>
  <si>
    <t xml:space="preserve">   • Standardization keeps gradients in a reasonable range</t>
  </si>
  <si>
    <t>3. Faster Convergence:</t>
  </si>
  <si>
    <t xml:space="preserve">   • Optimizers (like SGD, Adam) work better with standardized inputs</t>
  </si>
  <si>
    <t xml:space="preserve">   • Learning rate can be set more easily and consistently</t>
  </si>
  <si>
    <t>4. Better Weight Initialization:</t>
  </si>
  <si>
    <t xml:space="preserve">   • Standard initialization techniques (Xavier, He) assume normalized inputs</t>
  </si>
  <si>
    <t xml:space="preserve">   • Helps weights start in an optimal range</t>
  </si>
  <si>
    <t>Formula: z = (x - mean) / std</t>
  </si>
  <si>
    <t>Result: Transformed data has mean ≈ 0 and standard deviation ≈ 1</t>
  </si>
  <si>
    <t>[Description] Image preprocessing: Normalize pixel values (0-255 to 0-1) and standardize using ImageNet statistics.</t>
  </si>
  <si>
    <t>Preprocessing: Original(0-255) → Normalized(0-1) → Standardized</t>
  </si>
  <si>
    <t>R Channel</t>
  </si>
  <si>
    <t>Original</t>
  </si>
  <si>
    <t>→ ÷255 →</t>
  </si>
  <si>
    <t>Normalized</t>
  </si>
  <si>
    <t>→ (x-0.485)/0.229 →</t>
  </si>
  <si>
    <t>Standardized</t>
  </si>
  <si>
    <t>G Channel</t>
  </si>
  <si>
    <t>→ (x-0.456)/0.224 →</t>
  </si>
  <si>
    <t>B Channel</t>
  </si>
  <si>
    <t>→ (x-0.406)/0.225 →</t>
  </si>
  <si>
    <t>[Description] Convolution extracts local features using learnable kernels. Output = sum of element-wise products over sliding window.</t>
  </si>
  <si>
    <t>Convolution: Input(6×6) → ZeroPad(8×8) → Conv(6×6)</t>
  </si>
  <si>
    <t>INPUT (Standardized 6×6)</t>
  </si>
  <si>
    <t>R_std</t>
  </si>
  <si>
    <t>G_std</t>
  </si>
  <si>
    <t>B_std</t>
  </si>
  <si>
    <t>ZERO PADDED (8×8, padding=1)</t>
  </si>
  <si>
    <t>R_padded</t>
  </si>
  <si>
    <t>G_padded</t>
  </si>
  <si>
    <t>B_padded</t>
  </si>
  <si>
    <t>(Gray = padding zeros)</t>
  </si>
  <si>
    <t>KERNELS</t>
  </si>
  <si>
    <t>CONVOLUTION RESULTS (each channel)</t>
  </si>
  <si>
    <t>Formula: Conv = R_sum + G_sum + B_sum + bias</t>
  </si>
  <si>
    <t>R_sum (6×6)</t>
  </si>
  <si>
    <t>G_sum (6×6)</t>
  </si>
  <si>
    <t>B_sum (6×6)</t>
  </si>
  <si>
    <t>OUTPUT: R_sum + G_sum + B_sum + bias = Conv (6×6)</t>
  </si>
  <si>
    <t>Example: Conv(0,0)</t>
  </si>
  <si>
    <t>[Description] ReLU activation: max(0, x). Introduces nonlinearity while avoiding vanishing gradient for positive values.</t>
  </si>
  <si>
    <t>ReLU: Conv (6×6) → ReLU (6×6)</t>
  </si>
  <si>
    <t>INPUT (Conv Output)</t>
  </si>
  <si>
    <t>ReLU(x) = max(0, x)</t>
  </si>
  <si>
    <t>Red = negative → 0</t>
  </si>
  <si>
    <t>↓</t>
  </si>
  <si>
    <t>OUTPUT (ReLU)</t>
  </si>
  <si>
    <t>[Description] Max pooling: Downsamples by taking maximum in each region. Provides translation invariance and reduces computation.</t>
  </si>
  <si>
    <t>MaxPool: ReLU (6×6) → Pool (3×3)</t>
  </si>
  <si>
    <t>INPUT (ReLU Output)</t>
  </si>
  <si>
    <t>Pool: 2×2, Stride: 2</t>
  </si>
  <si>
    <t>OUTPUT (Pool 3×3)</t>
  </si>
  <si>
    <t>[Description] Fully connected layer: Flattens feature maps and computes final classification scores.</t>
  </si>
  <si>
    <t>FC: Pool (3×3) → Flatten (9) → FC → Sigmoid → Loss</t>
  </si>
  <si>
    <t>INPUT (Pool)</t>
  </si>
  <si>
    <t>→ Flatten →</t>
  </si>
  <si>
    <t>Vector (9)</t>
  </si>
  <si>
    <t>z = Σ(w×x) + b = 4.2656</t>
  </si>
  <si>
    <t>y = σ(z) = 0.9862</t>
  </si>
  <si>
    <t>Loss = 0.0139</t>
  </si>
  <si>
    <t>[Description] CNN backpropagation: Gradients flow back through FC, unpooling (to max positions), ReLU mask, and conv (kernel gradients).</t>
  </si>
  <si>
    <t>Backward Propagation: CNN Gradient Computation</t>
  </si>
  <si>
    <t>Learning Rate: eta = 0.01</t>
  </si>
  <si>
    <t>&gt;&gt;&gt; 1. Output Layer Gradient (BCE + Sigmoid)</t>
  </si>
  <si>
    <t>y_pred = 0.9862, y_true = 1</t>
  </si>
  <si>
    <t>For BCE + Sigmoid: dL/dz = y_pred - y_true</t>
  </si>
  <si>
    <t>dL/dz = 0.9862 - 1 = -0.0138</t>
  </si>
  <si>
    <t>&gt;&gt;&gt; 2. FC Layer Gradients (dL/dW = dL/dz * x)</t>
  </si>
  <si>
    <t>Flattened Pool Input (x):</t>
  </si>
  <si>
    <t>W_fc</t>
  </si>
  <si>
    <t>Gradient</t>
  </si>
  <si>
    <t>Updated</t>
  </si>
  <si>
    <t>W[0]</t>
  </si>
  <si>
    <t>W[1]</t>
  </si>
  <si>
    <t>W[2]</t>
  </si>
  <si>
    <t>W[3]</t>
  </si>
  <si>
    <t>W[4]</t>
  </si>
  <si>
    <t>W[5]</t>
  </si>
  <si>
    <t>W[6]</t>
  </si>
  <si>
    <t>W[7]</t>
  </si>
  <si>
    <t>W[8]</t>
  </si>
  <si>
    <t>b_fc</t>
  </si>
  <si>
    <t>&gt;&gt;&gt; 3. Gradient to Pool Layer (dL/dPool = dL/dz * W_fc)</t>
  </si>
  <si>
    <t>dL/dPool (3x3):</t>
  </si>
  <si>
    <t>&gt;&gt;&gt; 4. MaxPool Backward (Gradient routing to max positions)</t>
  </si>
  <si>
    <t>MaxPool mask: gradient flows only to max positions in each 2x2 region</t>
  </si>
  <si>
    <t>dL/dReLU (6x6):</t>
  </si>
  <si>
    <t>&gt;&gt;&gt; 5. ReLU Backward (dL/dConv = dL/dReLU * ReLU'(z))</t>
  </si>
  <si>
    <t>ReLU'(z) = 1 if z &gt; 0, else 0</t>
  </si>
  <si>
    <t>dL/dConv (6x6):</t>
  </si>
  <si>
    <t>&gt;&gt;&gt; 6. Convolution Backward (Kernel Gradients)</t>
  </si>
  <si>
    <t>dL/dK = conv(padded_input, dL/dConv)</t>
  </si>
  <si>
    <t>K_R (Original)</t>
  </si>
  <si>
    <t>dL/dK_R</t>
  </si>
  <si>
    <t>K_R (Updated)</t>
  </si>
  <si>
    <t>K_G (Original)</t>
  </si>
  <si>
    <t>dL/dK_G</t>
  </si>
  <si>
    <t>K_G (Updated)</t>
  </si>
  <si>
    <t>K_B (Original)</t>
  </si>
  <si>
    <t>dL/dK_B</t>
  </si>
  <si>
    <t>K_B (Updated)</t>
  </si>
  <si>
    <t>Conv Bias:</t>
  </si>
  <si>
    <t>[Description] Reference solutions for self-checking your calculations.</t>
  </si>
  <si>
    <t>Conv (6×6):</t>
  </si>
  <si>
    <t>ReLU (6×6):</t>
  </si>
  <si>
    <t>Pool (3×3):</t>
  </si>
  <si>
    <t>z=4.2656, y=0.9862, Loss=0.0139</t>
  </si>
  <si>
    <t>Step_size = 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</si>
</sst>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b/>
      <sz val="12"/>
      <color rgb="FF0000FF"/>
      <name val="Calibri"/>
      <family val="2"/>
    </font>
    <font>
      <b/>
      <sz val="14"/>
      <name val="Calibri"/>
      <family val="2"/>
    </font>
    <font>
      <b/>
      <sz val="12"/>
      <name val="Calibri"/>
      <family val="2"/>
    </font>
    <font>
      <i/>
      <sz val="11"/>
      <color rgb="FF0066CC"/>
      <name val="Calibri"/>
      <family val="2"/>
    </font>
    <font>
      <i/>
      <sz val="10"/>
      <color rgb="FF505050"/>
      <name val="Calibri"/>
      <family val="2"/>
    </font>
  </fonts>
  <fills count="23">
    <fill>
      <patternFill patternType="none"/>
    </fill>
    <fill>
      <patternFill patternType="gray125"/>
    </fill>
    <fill>
      <patternFill patternType="solid">
        <fgColor rgb="FFF2F2F2"/>
        <bgColor rgb="FFF2F2F2"/>
      </patternFill>
    </fill>
    <fill>
      <patternFill patternType="solid">
        <fgColor rgb="FFDAEEF3"/>
        <bgColor rgb="FFDAEEF3"/>
      </patternFill>
    </fill>
    <fill>
      <patternFill patternType="solid">
        <fgColor rgb="FFFDE9D9"/>
        <bgColor rgb="FFFDE9D9"/>
      </patternFill>
    </fill>
    <fill>
      <patternFill patternType="solid">
        <fgColor rgb="FFFFCCCC"/>
        <bgColor rgb="FFFFCCCC"/>
      </patternFill>
    </fill>
    <fill>
      <patternFill patternType="solid">
        <fgColor rgb="FFCCFFCC"/>
        <bgColor rgb="FFCCFFCC"/>
      </patternFill>
    </fill>
    <fill>
      <patternFill patternType="solid">
        <fgColor rgb="FFCCE5FF"/>
        <bgColor rgb="FFCCE5FF"/>
      </patternFill>
    </fill>
    <fill>
      <patternFill patternType="solid">
        <fgColor rgb="FFD8E4BC"/>
        <bgColor rgb="FFD8E4BC"/>
      </patternFill>
    </fill>
    <fill>
      <patternFill patternType="solid">
        <fgColor rgb="FFD9D9D9"/>
        <bgColor rgb="FFD9D9D9"/>
      </patternFill>
    </fill>
    <fill>
      <patternFill patternType="solid">
        <fgColor rgb="FFE4DFEC"/>
        <bgColor rgb="FFE4DFEC"/>
      </patternFill>
    </fill>
    <fill>
      <patternFill patternType="solid">
        <fgColor rgb="FFD4CFE0"/>
        <bgColor rgb="FFD4CFE0"/>
      </patternFill>
    </fill>
    <fill>
      <patternFill patternType="solid">
        <fgColor rgb="FFC4BFD4"/>
        <bgColor rgb="FFC4BFD4"/>
      </patternFill>
    </fill>
    <fill>
      <patternFill patternType="solid">
        <fgColor rgb="FFDFE4EC"/>
        <bgColor rgb="FFDFE4EC"/>
      </patternFill>
    </fill>
    <fill>
      <patternFill patternType="solid">
        <fgColor rgb="FFCFD4E0"/>
        <bgColor rgb="FFCFD4E0"/>
      </patternFill>
    </fill>
    <fill>
      <patternFill patternType="solid">
        <fgColor rgb="FFBFC4D4"/>
        <bgColor rgb="FFBFC4D4"/>
      </patternFill>
    </fill>
    <fill>
      <patternFill patternType="solid">
        <fgColor rgb="FFE4ECDF"/>
        <bgColor rgb="FFE4ECDF"/>
      </patternFill>
    </fill>
    <fill>
      <patternFill patternType="solid">
        <fgColor rgb="FFD4E0CF"/>
        <bgColor rgb="FFD4E0CF"/>
      </patternFill>
    </fill>
    <fill>
      <patternFill patternType="solid">
        <fgColor rgb="FFC4D4BF"/>
        <bgColor rgb="FFC4D4BF"/>
      </patternFill>
    </fill>
    <fill>
      <patternFill patternType="solid">
        <fgColor rgb="FFFFFF99"/>
        <bgColor rgb="FFFFFF99"/>
      </patternFill>
    </fill>
    <fill>
      <patternFill patternType="solid">
        <fgColor rgb="FFADD8E6"/>
        <bgColor rgb="FFADD8E6"/>
      </patternFill>
    </fill>
    <fill>
      <patternFill patternType="solid">
        <fgColor rgb="FF90EE90"/>
        <bgColor rgb="FF90EE90"/>
      </patternFill>
    </fill>
    <fill>
      <patternFill patternType="solid">
        <fgColor rgb="FFF0F8FF"/>
        <bgColor rgb="FFF0F8FF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2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0" fontId="1" fillId="6" borderId="1" xfId="0" applyFont="1" applyFill="1" applyBorder="1" applyAlignment="1">
      <alignment horizontal="center" vertical="center"/>
    </xf>
    <xf numFmtId="0" fontId="1" fillId="7" borderId="1" xfId="0" applyFon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6" borderId="1" xfId="0" applyFill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1" fillId="8" borderId="1" xfId="0" applyFont="1" applyFill="1" applyBorder="1" applyAlignment="1">
      <alignment horizontal="center" vertical="center"/>
    </xf>
    <xf numFmtId="0" fontId="0" fillId="9" borderId="1" xfId="0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1" fillId="10" borderId="1" xfId="0" applyFont="1" applyFill="1" applyBorder="1" applyAlignment="1">
      <alignment horizontal="center" vertical="center"/>
    </xf>
    <xf numFmtId="0" fontId="0" fillId="8" borderId="1" xfId="0" applyFill="1" applyBorder="1" applyAlignment="1">
      <alignment horizontal="center" vertical="center"/>
    </xf>
    <xf numFmtId="0" fontId="0" fillId="10" borderId="1" xfId="0" applyFill="1" applyBorder="1" applyAlignment="1">
      <alignment horizontal="center" vertical="center"/>
    </xf>
    <xf numFmtId="0" fontId="0" fillId="11" borderId="1" xfId="0" applyFill="1" applyBorder="1" applyAlignment="1">
      <alignment horizontal="center" vertical="center"/>
    </xf>
    <xf numFmtId="0" fontId="0" fillId="12" borderId="1" xfId="0" applyFill="1" applyBorder="1" applyAlignment="1">
      <alignment horizontal="center" vertical="center"/>
    </xf>
    <xf numFmtId="0" fontId="0" fillId="13" borderId="1" xfId="0" applyFill="1" applyBorder="1" applyAlignment="1">
      <alignment horizontal="center" vertical="center"/>
    </xf>
    <xf numFmtId="0" fontId="0" fillId="14" borderId="1" xfId="0" applyFill="1" applyBorder="1" applyAlignment="1">
      <alignment horizontal="center" vertical="center"/>
    </xf>
    <xf numFmtId="0" fontId="0" fillId="15" borderId="1" xfId="0" applyFill="1" applyBorder="1" applyAlignment="1">
      <alignment horizontal="center" vertical="center"/>
    </xf>
    <xf numFmtId="0" fontId="0" fillId="16" borderId="1" xfId="0" applyFill="1" applyBorder="1" applyAlignment="1">
      <alignment horizontal="center" vertical="center"/>
    </xf>
    <xf numFmtId="0" fontId="0" fillId="17" borderId="1" xfId="0" applyFill="1" applyBorder="1" applyAlignment="1">
      <alignment horizontal="center" vertical="center"/>
    </xf>
    <xf numFmtId="0" fontId="0" fillId="18" borderId="1" xfId="0" applyFill="1" applyBorder="1" applyAlignment="1">
      <alignment horizontal="center" vertical="center"/>
    </xf>
    <xf numFmtId="0" fontId="2" fillId="0" borderId="0" xfId="0" applyFont="1"/>
    <xf numFmtId="0" fontId="3" fillId="0" borderId="0" xfId="0" applyFont="1"/>
    <xf numFmtId="0" fontId="4" fillId="0" borderId="0" xfId="0" applyFont="1"/>
    <xf numFmtId="0" fontId="4" fillId="19" borderId="0" xfId="0" applyFont="1" applyFill="1"/>
    <xf numFmtId="0" fontId="5" fillId="0" borderId="0" xfId="0" applyFont="1"/>
    <xf numFmtId="0" fontId="0" fillId="20" borderId="0" xfId="0" applyFill="1"/>
    <xf numFmtId="0" fontId="0" fillId="21" borderId="0" xfId="0" applyFill="1"/>
    <xf numFmtId="0" fontId="6" fillId="22" borderId="0" xfId="0" applyFont="1" applyFill="1" applyAlignment="1">
      <alignment wrapText="1"/>
    </xf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0" fillId="0" borderId="2" xfId="0" applyBorder="1"/>
    <xf numFmtId="0" fontId="0" fillId="0" borderId="3" xfId="0" applyBorder="1"/>
    <xf numFmtId="0" fontId="1" fillId="3" borderId="1" xfId="0" applyFont="1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1" fillId="8" borderId="1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1" fillId="10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41"/>
  <sheetViews>
    <sheetView workbookViewId="0">
      <selection sqref="A1:J1"/>
    </sheetView>
  </sheetViews>
  <sheetFormatPr baseColWidth="10" defaultColWidth="8.83203125" defaultRowHeight="15" x14ac:dyDescent="0.2"/>
  <cols>
    <col min="1" max="1" width="80" customWidth="1"/>
    <col min="2" max="24" width="6" customWidth="1"/>
  </cols>
  <sheetData>
    <row r="1" spans="1:22" x14ac:dyDescent="0.2">
      <c r="A1" s="32" t="s">
        <v>0</v>
      </c>
      <c r="B1" s="33"/>
      <c r="C1" s="33"/>
      <c r="D1" s="33"/>
      <c r="E1" s="33"/>
      <c r="F1" s="33"/>
      <c r="G1" s="33"/>
      <c r="H1" s="33"/>
      <c r="I1" s="33"/>
      <c r="J1" s="33"/>
    </row>
    <row r="2" spans="1:22" x14ac:dyDescent="0.2">
      <c r="B2" s="34" t="s">
        <v>1</v>
      </c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/>
      <c r="S2" s="35"/>
      <c r="T2" s="35"/>
      <c r="U2" s="35"/>
      <c r="V2" s="36"/>
    </row>
    <row r="4" spans="1:22" x14ac:dyDescent="0.2">
      <c r="B4" s="34" t="s">
        <v>2</v>
      </c>
      <c r="C4" s="35"/>
      <c r="D4" s="35"/>
      <c r="E4" s="35"/>
      <c r="F4" s="35"/>
      <c r="G4" s="35"/>
      <c r="H4" s="35"/>
      <c r="I4" s="35"/>
      <c r="J4" s="35"/>
      <c r="K4" s="35"/>
      <c r="L4" s="35"/>
      <c r="M4" s="35"/>
      <c r="N4" s="35"/>
      <c r="O4" s="35"/>
      <c r="P4" s="35"/>
      <c r="Q4" s="35"/>
      <c r="R4" s="35"/>
      <c r="S4" s="35"/>
      <c r="T4" s="35"/>
      <c r="U4" s="35"/>
      <c r="V4" s="36"/>
    </row>
    <row r="5" spans="1:22" x14ac:dyDescent="0.2">
      <c r="B5" s="38" t="s">
        <v>3</v>
      </c>
      <c r="C5" s="35"/>
      <c r="D5" s="35"/>
      <c r="E5" s="35"/>
      <c r="F5" s="35"/>
      <c r="G5" s="35"/>
      <c r="H5" s="35"/>
      <c r="I5" s="35"/>
      <c r="J5" s="35"/>
      <c r="K5" s="35"/>
      <c r="L5" s="35"/>
      <c r="M5" s="35"/>
      <c r="N5" s="35"/>
      <c r="O5" s="35"/>
      <c r="P5" s="35"/>
      <c r="Q5" s="35"/>
      <c r="R5" s="35"/>
      <c r="S5" s="35"/>
      <c r="T5" s="35"/>
      <c r="U5" s="35"/>
      <c r="V5" s="36"/>
    </row>
    <row r="7" spans="1:22" x14ac:dyDescent="0.2">
      <c r="B7" s="37" t="s">
        <v>4</v>
      </c>
      <c r="C7" s="35"/>
      <c r="D7" s="35"/>
      <c r="E7" s="35"/>
      <c r="F7" s="35"/>
      <c r="G7" s="35"/>
      <c r="H7" s="35"/>
      <c r="I7" s="35"/>
      <c r="J7" s="35"/>
      <c r="K7" s="35"/>
      <c r="L7" s="35"/>
      <c r="M7" s="35"/>
      <c r="N7" s="35"/>
      <c r="O7" s="35"/>
      <c r="P7" s="35"/>
      <c r="Q7" s="35"/>
      <c r="R7" s="35"/>
      <c r="S7" s="35"/>
      <c r="T7" s="35"/>
      <c r="U7" s="35"/>
      <c r="V7" s="36"/>
    </row>
    <row r="10" spans="1:22" x14ac:dyDescent="0.2">
      <c r="B10" s="4" t="s">
        <v>5</v>
      </c>
    </row>
    <row r="12" spans="1:22" x14ac:dyDescent="0.2">
      <c r="B12" s="5" t="s">
        <v>6</v>
      </c>
      <c r="G12" s="6" t="s">
        <v>7</v>
      </c>
      <c r="L12" s="7" t="s">
        <v>8</v>
      </c>
      <c r="Q12" s="2" t="s">
        <v>9</v>
      </c>
    </row>
    <row r="13" spans="1:22" x14ac:dyDescent="0.2">
      <c r="B13" s="8">
        <v>1</v>
      </c>
      <c r="C13" s="8">
        <v>0</v>
      </c>
      <c r="D13" s="8">
        <v>-1</v>
      </c>
      <c r="G13" s="9">
        <v>1</v>
      </c>
      <c r="H13" s="9">
        <v>2</v>
      </c>
      <c r="I13" s="9">
        <v>1</v>
      </c>
      <c r="L13" s="10">
        <v>0</v>
      </c>
      <c r="M13" s="10">
        <v>-1</v>
      </c>
      <c r="N13" s="10">
        <v>0</v>
      </c>
    </row>
    <row r="14" spans="1:22" x14ac:dyDescent="0.2">
      <c r="B14" s="8">
        <v>2</v>
      </c>
      <c r="C14" s="8">
        <v>0</v>
      </c>
      <c r="D14" s="8">
        <v>-2</v>
      </c>
      <c r="G14" s="9">
        <v>0</v>
      </c>
      <c r="H14" s="9">
        <v>0</v>
      </c>
      <c r="I14" s="9">
        <v>0</v>
      </c>
      <c r="L14" s="10">
        <v>-1</v>
      </c>
      <c r="M14" s="10">
        <v>4</v>
      </c>
      <c r="N14" s="10">
        <v>-1</v>
      </c>
    </row>
    <row r="15" spans="1:22" x14ac:dyDescent="0.2">
      <c r="B15" s="8">
        <v>1</v>
      </c>
      <c r="C15" s="8">
        <v>0</v>
      </c>
      <c r="D15" s="8">
        <v>-1</v>
      </c>
      <c r="G15" s="9">
        <v>-1</v>
      </c>
      <c r="H15" s="9">
        <v>-2</v>
      </c>
      <c r="I15" s="9">
        <v>-1</v>
      </c>
      <c r="L15" s="10">
        <v>0</v>
      </c>
      <c r="M15" s="10">
        <v>-1</v>
      </c>
      <c r="N15" s="10">
        <v>0</v>
      </c>
    </row>
    <row r="20" spans="1:1" ht="16" x14ac:dyDescent="0.2">
      <c r="A20" s="25"/>
    </row>
    <row r="22" spans="1:1" x14ac:dyDescent="0.2">
      <c r="A22" t="s">
        <v>10</v>
      </c>
    </row>
    <row r="24" spans="1:1" x14ac:dyDescent="0.2">
      <c r="A24" t="s">
        <v>11</v>
      </c>
    </row>
    <row r="25" spans="1:1" x14ac:dyDescent="0.2">
      <c r="A25" t="s">
        <v>12</v>
      </c>
    </row>
    <row r="26" spans="1:1" x14ac:dyDescent="0.2">
      <c r="A26" t="s">
        <v>13</v>
      </c>
    </row>
    <row r="28" spans="1:1" x14ac:dyDescent="0.2">
      <c r="A28" t="s">
        <v>14</v>
      </c>
    </row>
    <row r="29" spans="1:1" x14ac:dyDescent="0.2">
      <c r="A29" t="s">
        <v>15</v>
      </c>
    </row>
    <row r="30" spans="1:1" x14ac:dyDescent="0.2">
      <c r="A30" t="s">
        <v>16</v>
      </c>
    </row>
    <row r="32" spans="1:1" x14ac:dyDescent="0.2">
      <c r="A32" t="s">
        <v>17</v>
      </c>
    </row>
    <row r="33" spans="1:1" x14ac:dyDescent="0.2">
      <c r="A33" t="s">
        <v>18</v>
      </c>
    </row>
    <row r="34" spans="1:1" x14ac:dyDescent="0.2">
      <c r="A34" t="s">
        <v>19</v>
      </c>
    </row>
    <row r="36" spans="1:1" x14ac:dyDescent="0.2">
      <c r="A36" t="s">
        <v>20</v>
      </c>
    </row>
    <row r="37" spans="1:1" x14ac:dyDescent="0.2">
      <c r="A37" t="s">
        <v>21</v>
      </c>
    </row>
    <row r="38" spans="1:1" x14ac:dyDescent="0.2">
      <c r="A38" t="s">
        <v>22</v>
      </c>
    </row>
    <row r="40" spans="1:1" x14ac:dyDescent="0.2">
      <c r="A40" t="s">
        <v>23</v>
      </c>
    </row>
    <row r="41" spans="1:1" x14ac:dyDescent="0.2">
      <c r="A41" t="s">
        <v>24</v>
      </c>
    </row>
  </sheetData>
  <mergeCells count="5">
    <mergeCell ref="A1:J1"/>
    <mergeCell ref="B2:V2"/>
    <mergeCell ref="B7:V7"/>
    <mergeCell ref="B5:V5"/>
    <mergeCell ref="B4:V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B35"/>
  <sheetViews>
    <sheetView workbookViewId="0">
      <selection activeCell="Z24" sqref="Z24"/>
    </sheetView>
  </sheetViews>
  <sheetFormatPr baseColWidth="10" defaultColWidth="8.83203125" defaultRowHeight="15" x14ac:dyDescent="0.2"/>
  <cols>
    <col min="1" max="1" width="6" customWidth="1"/>
    <col min="2" max="2" width="12" customWidth="1"/>
    <col min="3" max="8" width="6" customWidth="1"/>
    <col min="9" max="9" width="15.1640625" customWidth="1"/>
    <col min="10" max="10" width="6" customWidth="1"/>
    <col min="11" max="11" width="18.5" customWidth="1"/>
    <col min="12" max="17" width="6" customWidth="1"/>
    <col min="18" max="18" width="19" customWidth="1"/>
    <col min="19" max="22" width="6" customWidth="1"/>
    <col min="23" max="23" width="13.5" customWidth="1"/>
    <col min="24" max="31" width="6" customWidth="1"/>
  </cols>
  <sheetData>
    <row r="1" spans="1:28" x14ac:dyDescent="0.2">
      <c r="A1" s="32" t="s">
        <v>25</v>
      </c>
      <c r="B1" s="33"/>
      <c r="C1" s="33"/>
      <c r="D1" s="33"/>
      <c r="E1" s="33"/>
      <c r="F1" s="33"/>
      <c r="G1" s="33"/>
      <c r="H1" s="33"/>
      <c r="I1" s="33"/>
      <c r="J1" s="33"/>
    </row>
    <row r="2" spans="1:28" x14ac:dyDescent="0.2">
      <c r="B2" s="39" t="s">
        <v>26</v>
      </c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/>
      <c r="S2" s="35"/>
      <c r="T2" s="35"/>
      <c r="U2" s="35"/>
      <c r="V2" s="35"/>
      <c r="W2" s="35"/>
      <c r="X2" s="35"/>
      <c r="Y2" s="35"/>
      <c r="Z2" s="36"/>
    </row>
    <row r="5" spans="1:28" x14ac:dyDescent="0.2">
      <c r="B5" s="5" t="s">
        <v>27</v>
      </c>
    </row>
    <row r="7" spans="1:28" x14ac:dyDescent="0.2">
      <c r="B7" s="5" t="s">
        <v>28</v>
      </c>
      <c r="I7" s="1" t="s">
        <v>29</v>
      </c>
      <c r="K7" s="5" t="s">
        <v>30</v>
      </c>
      <c r="R7" s="1" t="s">
        <v>31</v>
      </c>
      <c r="W7" s="5" t="s">
        <v>32</v>
      </c>
    </row>
    <row r="8" spans="1:28" x14ac:dyDescent="0.2">
      <c r="B8" s="8">
        <v>255</v>
      </c>
      <c r="C8" s="8">
        <v>200</v>
      </c>
      <c r="D8" s="8">
        <v>150</v>
      </c>
      <c r="E8" s="8">
        <v>100</v>
      </c>
      <c r="F8" s="8">
        <v>50</v>
      </c>
      <c r="G8" s="8">
        <v>25</v>
      </c>
      <c r="K8" s="8">
        <v>1</v>
      </c>
      <c r="L8" s="8">
        <v>0.78400000000000003</v>
      </c>
      <c r="M8" s="8">
        <v>0.58799999999999997</v>
      </c>
      <c r="N8" s="8">
        <v>0.39200000000000002</v>
      </c>
      <c r="O8" s="8">
        <v>0.19600000000000001</v>
      </c>
      <c r="P8" s="8">
        <v>9.8000000000000004E-2</v>
      </c>
      <c r="W8" s="8">
        <v>2.25</v>
      </c>
      <c r="X8" s="8">
        <v>1.31</v>
      </c>
      <c r="Y8" s="8">
        <v>0.45</v>
      </c>
      <c r="Z8" s="8">
        <v>-0.41</v>
      </c>
      <c r="AA8" s="8">
        <v>-1.26</v>
      </c>
      <c r="AB8" s="8">
        <v>-1.69</v>
      </c>
    </row>
    <row r="9" spans="1:28" x14ac:dyDescent="0.2">
      <c r="B9" s="8">
        <v>230</v>
      </c>
      <c r="C9" s="8">
        <v>180</v>
      </c>
      <c r="D9" s="8">
        <v>130</v>
      </c>
      <c r="E9" s="8">
        <v>80</v>
      </c>
      <c r="F9" s="8">
        <v>40</v>
      </c>
      <c r="G9" s="8">
        <v>20</v>
      </c>
      <c r="K9" s="8">
        <v>0.90200000000000002</v>
      </c>
      <c r="L9" s="8">
        <v>0.70599999999999996</v>
      </c>
      <c r="M9" s="8">
        <v>0.51</v>
      </c>
      <c r="N9" s="8">
        <v>0.314</v>
      </c>
      <c r="O9" s="8">
        <v>0.157</v>
      </c>
      <c r="P9" s="8">
        <v>7.8E-2</v>
      </c>
      <c r="W9" s="8">
        <v>1.82</v>
      </c>
      <c r="X9" s="8">
        <v>0.96</v>
      </c>
      <c r="Y9" s="8">
        <v>0.11</v>
      </c>
      <c r="Z9" s="8">
        <v>-0.75</v>
      </c>
      <c r="AA9" s="8">
        <v>-1.43</v>
      </c>
      <c r="AB9" s="8">
        <v>-1.78</v>
      </c>
    </row>
    <row r="10" spans="1:28" x14ac:dyDescent="0.2">
      <c r="B10" s="8">
        <v>210</v>
      </c>
      <c r="C10" s="8">
        <v>160</v>
      </c>
      <c r="D10" s="8">
        <v>120</v>
      </c>
      <c r="E10" s="8">
        <v>70</v>
      </c>
      <c r="F10" s="8">
        <v>35</v>
      </c>
      <c r="G10" s="8">
        <v>15</v>
      </c>
      <c r="K10" s="8">
        <v>0.82399999999999995</v>
      </c>
      <c r="L10" s="8">
        <v>0.627</v>
      </c>
      <c r="M10" s="8">
        <v>0.47099999999999997</v>
      </c>
      <c r="N10" s="8">
        <v>0.27500000000000002</v>
      </c>
      <c r="O10" s="8">
        <v>0.13700000000000001</v>
      </c>
      <c r="P10" s="8">
        <v>5.8999999999999997E-2</v>
      </c>
      <c r="W10" s="8">
        <v>1.48</v>
      </c>
      <c r="X10" s="8">
        <v>0.62</v>
      </c>
      <c r="Y10" s="8">
        <v>-0.06</v>
      </c>
      <c r="Z10" s="8">
        <v>-0.92</v>
      </c>
      <c r="AA10" s="8">
        <v>-1.52</v>
      </c>
      <c r="AB10" s="8">
        <v>-1.86</v>
      </c>
    </row>
    <row r="11" spans="1:28" x14ac:dyDescent="0.2">
      <c r="B11" s="8">
        <v>190</v>
      </c>
      <c r="C11" s="8">
        <v>140</v>
      </c>
      <c r="D11" s="8">
        <v>100</v>
      </c>
      <c r="E11" s="8">
        <v>60</v>
      </c>
      <c r="F11" s="8">
        <v>30</v>
      </c>
      <c r="G11" s="8">
        <v>10</v>
      </c>
      <c r="K11" s="8">
        <v>0.745</v>
      </c>
      <c r="L11" s="8">
        <v>0.54900000000000004</v>
      </c>
      <c r="M11" s="8">
        <v>0.39200000000000002</v>
      </c>
      <c r="N11" s="8">
        <v>0.23499999999999999</v>
      </c>
      <c r="O11" s="8">
        <v>0.11799999999999999</v>
      </c>
      <c r="P11" s="8">
        <v>3.9E-2</v>
      </c>
      <c r="W11" s="8">
        <v>1.1399999999999999</v>
      </c>
      <c r="X11" s="8">
        <v>0.28000000000000003</v>
      </c>
      <c r="Y11" s="8">
        <v>-0.41</v>
      </c>
      <c r="Z11" s="8">
        <v>-1.0900000000000001</v>
      </c>
      <c r="AA11" s="8">
        <v>-1.6</v>
      </c>
      <c r="AB11" s="8">
        <v>-1.95</v>
      </c>
    </row>
    <row r="12" spans="1:28" x14ac:dyDescent="0.2">
      <c r="B12" s="8">
        <v>170</v>
      </c>
      <c r="C12" s="8">
        <v>120</v>
      </c>
      <c r="D12" s="8">
        <v>80</v>
      </c>
      <c r="E12" s="8">
        <v>50</v>
      </c>
      <c r="F12" s="8">
        <v>25</v>
      </c>
      <c r="G12" s="8">
        <v>5</v>
      </c>
      <c r="K12" s="8">
        <v>0.66700000000000004</v>
      </c>
      <c r="L12" s="8">
        <v>0.47099999999999997</v>
      </c>
      <c r="M12" s="8">
        <v>0.314</v>
      </c>
      <c r="N12" s="8">
        <v>0.19600000000000001</v>
      </c>
      <c r="O12" s="8">
        <v>9.8000000000000004E-2</v>
      </c>
      <c r="P12" s="8">
        <v>0.02</v>
      </c>
      <c r="W12" s="8">
        <v>0.79</v>
      </c>
      <c r="X12" s="8">
        <v>-0.06</v>
      </c>
      <c r="Y12" s="8">
        <v>-0.75</v>
      </c>
      <c r="Z12" s="8">
        <v>-1.26</v>
      </c>
      <c r="AA12" s="8">
        <v>-1.69</v>
      </c>
      <c r="AB12" s="8">
        <v>-2.0299999999999998</v>
      </c>
    </row>
    <row r="13" spans="1:28" x14ac:dyDescent="0.2">
      <c r="B13" s="8">
        <v>150</v>
      </c>
      <c r="C13" s="8">
        <v>100</v>
      </c>
      <c r="D13" s="8">
        <v>60</v>
      </c>
      <c r="E13" s="8">
        <v>40</v>
      </c>
      <c r="F13" s="8">
        <v>20</v>
      </c>
      <c r="G13" s="8">
        <v>0</v>
      </c>
      <c r="K13" s="8">
        <v>0.58799999999999997</v>
      </c>
      <c r="L13" s="8">
        <v>0.39200000000000002</v>
      </c>
      <c r="M13" s="8">
        <v>0.23499999999999999</v>
      </c>
      <c r="N13" s="8">
        <v>0.157</v>
      </c>
      <c r="O13" s="8">
        <v>7.8E-2</v>
      </c>
      <c r="P13" s="8">
        <v>0</v>
      </c>
      <c r="W13" s="8">
        <v>0.45</v>
      </c>
      <c r="X13" s="8">
        <v>-0.41</v>
      </c>
      <c r="Y13" s="8">
        <v>-1.0900000000000001</v>
      </c>
      <c r="Z13" s="8">
        <v>-1.43</v>
      </c>
      <c r="AA13" s="8">
        <v>-1.78</v>
      </c>
      <c r="AB13" s="8">
        <v>-2.12</v>
      </c>
    </row>
    <row r="16" spans="1:28" x14ac:dyDescent="0.2">
      <c r="B16" s="6" t="s">
        <v>33</v>
      </c>
    </row>
    <row r="18" spans="2:28" x14ac:dyDescent="0.2">
      <c r="B18" s="6" t="s">
        <v>28</v>
      </c>
      <c r="I18" s="1" t="s">
        <v>29</v>
      </c>
      <c r="K18" s="6" t="s">
        <v>30</v>
      </c>
      <c r="R18" s="1" t="s">
        <v>34</v>
      </c>
      <c r="W18" s="6" t="s">
        <v>32</v>
      </c>
    </row>
    <row r="19" spans="2:28" x14ac:dyDescent="0.2">
      <c r="B19" s="9">
        <v>100</v>
      </c>
      <c r="C19" s="9">
        <v>120</v>
      </c>
      <c r="D19" s="9">
        <v>140</v>
      </c>
      <c r="E19" s="9">
        <v>160</v>
      </c>
      <c r="F19" s="9">
        <v>180</v>
      </c>
      <c r="G19" s="9">
        <v>200</v>
      </c>
      <c r="K19" s="9">
        <v>0.39200000000000002</v>
      </c>
      <c r="L19" s="9">
        <v>0.47099999999999997</v>
      </c>
      <c r="M19" s="9">
        <v>0.54900000000000004</v>
      </c>
      <c r="N19" s="9">
        <v>0.627</v>
      </c>
      <c r="O19" s="9">
        <v>0.70599999999999996</v>
      </c>
      <c r="P19" s="9">
        <v>0.78400000000000003</v>
      </c>
      <c r="W19" s="9">
        <v>-0.28999999999999998</v>
      </c>
      <c r="X19" s="9">
        <v>7.0000000000000007E-2</v>
      </c>
      <c r="Y19" s="9">
        <v>0.42</v>
      </c>
      <c r="Z19" s="9">
        <v>0.77</v>
      </c>
      <c r="AA19" s="9">
        <v>1.1200000000000001</v>
      </c>
      <c r="AB19" s="9">
        <v>1.47</v>
      </c>
    </row>
    <row r="20" spans="2:28" x14ac:dyDescent="0.2">
      <c r="B20" s="9">
        <v>90</v>
      </c>
      <c r="C20" s="9">
        <v>110</v>
      </c>
      <c r="D20" s="9">
        <v>130</v>
      </c>
      <c r="E20" s="9">
        <v>150</v>
      </c>
      <c r="F20" s="9">
        <v>170</v>
      </c>
      <c r="G20" s="9">
        <v>190</v>
      </c>
      <c r="K20" s="9">
        <v>0.35299999999999998</v>
      </c>
      <c r="L20" s="9">
        <v>0.43099999999999999</v>
      </c>
      <c r="M20" s="9">
        <v>0.51</v>
      </c>
      <c r="N20" s="9">
        <v>0.58799999999999997</v>
      </c>
      <c r="O20" s="9">
        <v>0.66700000000000004</v>
      </c>
      <c r="P20" s="9">
        <v>0.745</v>
      </c>
      <c r="W20" s="9">
        <v>-0.46</v>
      </c>
      <c r="X20" s="9">
        <v>-0.11</v>
      </c>
      <c r="Y20" s="9">
        <v>0.24</v>
      </c>
      <c r="Z20" s="9">
        <v>0.59</v>
      </c>
      <c r="AA20" s="9">
        <v>0.94</v>
      </c>
      <c r="AB20" s="9">
        <v>1.29</v>
      </c>
    </row>
    <row r="21" spans="2:28" x14ac:dyDescent="0.2">
      <c r="B21" s="9">
        <v>80</v>
      </c>
      <c r="C21" s="9">
        <v>100</v>
      </c>
      <c r="D21" s="9">
        <v>120</v>
      </c>
      <c r="E21" s="9">
        <v>140</v>
      </c>
      <c r="F21" s="9">
        <v>160</v>
      </c>
      <c r="G21" s="9">
        <v>180</v>
      </c>
      <c r="K21" s="9">
        <v>0.314</v>
      </c>
      <c r="L21" s="9">
        <v>0.39200000000000002</v>
      </c>
      <c r="M21" s="9">
        <v>0.47099999999999997</v>
      </c>
      <c r="N21" s="9">
        <v>0.54900000000000004</v>
      </c>
      <c r="O21" s="9">
        <v>0.627</v>
      </c>
      <c r="P21" s="9">
        <v>0.70599999999999996</v>
      </c>
      <c r="W21" s="9">
        <v>-0.64</v>
      </c>
      <c r="X21" s="9">
        <v>-0.28999999999999998</v>
      </c>
      <c r="Y21" s="9">
        <v>7.0000000000000007E-2</v>
      </c>
      <c r="Z21" s="9">
        <v>0.42</v>
      </c>
      <c r="AA21" s="9">
        <v>0.77</v>
      </c>
      <c r="AB21" s="9">
        <v>1.1200000000000001</v>
      </c>
    </row>
    <row r="22" spans="2:28" x14ac:dyDescent="0.2">
      <c r="B22" s="9">
        <v>70</v>
      </c>
      <c r="C22" s="9">
        <v>90</v>
      </c>
      <c r="D22" s="9">
        <v>110</v>
      </c>
      <c r="E22" s="9">
        <v>130</v>
      </c>
      <c r="F22" s="9">
        <v>150</v>
      </c>
      <c r="G22" s="9">
        <v>170</v>
      </c>
      <c r="K22" s="9">
        <v>0.27500000000000002</v>
      </c>
      <c r="L22" s="9">
        <v>0.35299999999999998</v>
      </c>
      <c r="M22" s="9">
        <v>0.43099999999999999</v>
      </c>
      <c r="N22" s="9">
        <v>0.51</v>
      </c>
      <c r="O22" s="9">
        <v>0.58799999999999997</v>
      </c>
      <c r="P22" s="9">
        <v>0.66700000000000004</v>
      </c>
      <c r="W22" s="9">
        <v>-0.81</v>
      </c>
      <c r="X22" s="9">
        <v>-0.46</v>
      </c>
      <c r="Y22" s="9">
        <v>-0.11</v>
      </c>
      <c r="Z22" s="9">
        <v>0.24</v>
      </c>
      <c r="AA22" s="9">
        <v>0.59</v>
      </c>
      <c r="AB22" s="9">
        <v>0.94</v>
      </c>
    </row>
    <row r="23" spans="2:28" x14ac:dyDescent="0.2">
      <c r="B23" s="9">
        <v>60</v>
      </c>
      <c r="C23" s="9">
        <v>80</v>
      </c>
      <c r="D23" s="9">
        <v>100</v>
      </c>
      <c r="E23" s="9">
        <v>120</v>
      </c>
      <c r="F23" s="9">
        <v>140</v>
      </c>
      <c r="G23" s="9">
        <v>160</v>
      </c>
      <c r="K23" s="9">
        <v>0.23499999999999999</v>
      </c>
      <c r="L23" s="9">
        <v>0.314</v>
      </c>
      <c r="M23" s="9">
        <v>0.39200000000000002</v>
      </c>
      <c r="N23" s="9">
        <v>0.47099999999999997</v>
      </c>
      <c r="O23" s="9">
        <v>0.54900000000000004</v>
      </c>
      <c r="P23" s="9">
        <v>0.627</v>
      </c>
      <c r="W23" s="9">
        <v>-0.99</v>
      </c>
      <c r="X23" s="9">
        <v>-0.64</v>
      </c>
      <c r="Y23" s="9">
        <v>-0.28999999999999998</v>
      </c>
      <c r="Z23" s="9">
        <v>7.0000000000000007E-2</v>
      </c>
      <c r="AA23" s="9">
        <v>0.42</v>
      </c>
      <c r="AB23" s="9">
        <v>0.77</v>
      </c>
    </row>
    <row r="24" spans="2:28" x14ac:dyDescent="0.2">
      <c r="B24" s="9">
        <v>50</v>
      </c>
      <c r="C24" s="9">
        <v>70</v>
      </c>
      <c r="D24" s="9">
        <v>90</v>
      </c>
      <c r="E24" s="9">
        <v>110</v>
      </c>
      <c r="F24" s="9">
        <v>130</v>
      </c>
      <c r="G24" s="9">
        <v>150</v>
      </c>
      <c r="K24" s="9">
        <v>0.19600000000000001</v>
      </c>
      <c r="L24" s="9">
        <v>0.27500000000000002</v>
      </c>
      <c r="M24" s="9">
        <v>0.35299999999999998</v>
      </c>
      <c r="N24" s="9">
        <v>0.43099999999999999</v>
      </c>
      <c r="O24" s="9">
        <v>0.51</v>
      </c>
      <c r="P24" s="9">
        <v>0.58799999999999997</v>
      </c>
      <c r="W24" s="9">
        <v>-1.1599999999999999</v>
      </c>
      <c r="X24" s="9">
        <v>-0.81</v>
      </c>
      <c r="Y24" s="9">
        <v>-0.46</v>
      </c>
      <c r="Z24" s="9">
        <v>-0.11</v>
      </c>
      <c r="AA24" s="9">
        <v>0.24</v>
      </c>
      <c r="AB24" s="9">
        <v>0.59</v>
      </c>
    </row>
    <row r="27" spans="2:28" x14ac:dyDescent="0.2">
      <c r="B27" s="7" t="s">
        <v>35</v>
      </c>
    </row>
    <row r="29" spans="2:28" x14ac:dyDescent="0.2">
      <c r="B29" s="7" t="s">
        <v>28</v>
      </c>
      <c r="I29" s="1" t="s">
        <v>29</v>
      </c>
      <c r="K29" s="7" t="s">
        <v>30</v>
      </c>
      <c r="R29" s="1" t="s">
        <v>36</v>
      </c>
      <c r="W29" s="7" t="s">
        <v>32</v>
      </c>
    </row>
    <row r="30" spans="2:28" x14ac:dyDescent="0.2">
      <c r="B30" s="10">
        <v>50</v>
      </c>
      <c r="C30" s="10">
        <v>75</v>
      </c>
      <c r="D30" s="10">
        <v>100</v>
      </c>
      <c r="E30" s="10">
        <v>125</v>
      </c>
      <c r="F30" s="10">
        <v>150</v>
      </c>
      <c r="G30" s="10">
        <v>175</v>
      </c>
      <c r="K30" s="10">
        <v>0.19600000000000001</v>
      </c>
      <c r="L30" s="10">
        <v>0.29399999999999998</v>
      </c>
      <c r="M30" s="10">
        <v>0.39200000000000002</v>
      </c>
      <c r="N30" s="10">
        <v>0.49</v>
      </c>
      <c r="O30" s="10">
        <v>0.58799999999999997</v>
      </c>
      <c r="P30" s="10">
        <v>0.68600000000000005</v>
      </c>
      <c r="W30" s="10">
        <v>-0.93</v>
      </c>
      <c r="X30" s="10">
        <v>-0.5</v>
      </c>
      <c r="Y30" s="10">
        <v>-0.06</v>
      </c>
      <c r="Z30" s="10">
        <v>0.37</v>
      </c>
      <c r="AA30" s="10">
        <v>0.81</v>
      </c>
      <c r="AB30" s="10">
        <v>1.25</v>
      </c>
    </row>
    <row r="31" spans="2:28" x14ac:dyDescent="0.2">
      <c r="B31" s="10">
        <v>60</v>
      </c>
      <c r="C31" s="10">
        <v>85</v>
      </c>
      <c r="D31" s="10">
        <v>110</v>
      </c>
      <c r="E31" s="10">
        <v>135</v>
      </c>
      <c r="F31" s="10">
        <v>160</v>
      </c>
      <c r="G31" s="10">
        <v>185</v>
      </c>
      <c r="K31" s="10">
        <v>0.23499999999999999</v>
      </c>
      <c r="L31" s="10">
        <v>0.33300000000000002</v>
      </c>
      <c r="M31" s="10">
        <v>0.43099999999999999</v>
      </c>
      <c r="N31" s="10">
        <v>0.52900000000000003</v>
      </c>
      <c r="O31" s="10">
        <v>0.627</v>
      </c>
      <c r="P31" s="10">
        <v>0.72499999999999998</v>
      </c>
      <c r="W31" s="10">
        <v>-0.76</v>
      </c>
      <c r="X31" s="10">
        <v>-0.32</v>
      </c>
      <c r="Y31" s="10">
        <v>0.11</v>
      </c>
      <c r="Z31" s="10">
        <v>0.55000000000000004</v>
      </c>
      <c r="AA31" s="10">
        <v>0.98</v>
      </c>
      <c r="AB31" s="10">
        <v>1.42</v>
      </c>
    </row>
    <row r="32" spans="2:28" x14ac:dyDescent="0.2">
      <c r="B32" s="10">
        <v>70</v>
      </c>
      <c r="C32" s="10">
        <v>95</v>
      </c>
      <c r="D32" s="10">
        <v>120</v>
      </c>
      <c r="E32" s="10">
        <v>145</v>
      </c>
      <c r="F32" s="10">
        <v>170</v>
      </c>
      <c r="G32" s="10">
        <v>195</v>
      </c>
      <c r="K32" s="10">
        <v>0.27500000000000002</v>
      </c>
      <c r="L32" s="10">
        <v>0.373</v>
      </c>
      <c r="M32" s="10">
        <v>0.47099999999999997</v>
      </c>
      <c r="N32" s="10">
        <v>0.56899999999999995</v>
      </c>
      <c r="O32" s="10">
        <v>0.66700000000000004</v>
      </c>
      <c r="P32" s="10">
        <v>0.76500000000000001</v>
      </c>
      <c r="W32" s="10">
        <v>-0.57999999999999996</v>
      </c>
      <c r="X32" s="10">
        <v>-0.15</v>
      </c>
      <c r="Y32" s="10">
        <v>0.28999999999999998</v>
      </c>
      <c r="Z32" s="10">
        <v>0.72</v>
      </c>
      <c r="AA32" s="10">
        <v>1.1599999999999999</v>
      </c>
      <c r="AB32" s="10">
        <v>1.59</v>
      </c>
    </row>
    <row r="33" spans="2:28" x14ac:dyDescent="0.2">
      <c r="B33" s="10">
        <v>80</v>
      </c>
      <c r="C33" s="10">
        <v>105</v>
      </c>
      <c r="D33" s="10">
        <v>130</v>
      </c>
      <c r="E33" s="10">
        <v>155</v>
      </c>
      <c r="F33" s="10">
        <v>180</v>
      </c>
      <c r="G33" s="10">
        <v>205</v>
      </c>
      <c r="K33" s="10">
        <v>0.314</v>
      </c>
      <c r="L33" s="10">
        <v>0.41199999999999998</v>
      </c>
      <c r="M33" s="10">
        <v>0.51</v>
      </c>
      <c r="N33" s="10">
        <v>0.60799999999999998</v>
      </c>
      <c r="O33" s="10">
        <v>0.70599999999999996</v>
      </c>
      <c r="P33" s="10">
        <v>0.80400000000000005</v>
      </c>
      <c r="W33" s="10">
        <v>-0.41</v>
      </c>
      <c r="X33" s="10">
        <v>0.03</v>
      </c>
      <c r="Y33" s="10">
        <v>0.46</v>
      </c>
      <c r="Z33" s="10">
        <v>0.9</v>
      </c>
      <c r="AA33" s="10">
        <v>1.33</v>
      </c>
      <c r="AB33" s="10">
        <v>1.77</v>
      </c>
    </row>
    <row r="34" spans="2:28" x14ac:dyDescent="0.2">
      <c r="B34" s="10">
        <v>90</v>
      </c>
      <c r="C34" s="10">
        <v>115</v>
      </c>
      <c r="D34" s="10">
        <v>140</v>
      </c>
      <c r="E34" s="10">
        <v>165</v>
      </c>
      <c r="F34" s="10">
        <v>190</v>
      </c>
      <c r="G34" s="10">
        <v>215</v>
      </c>
      <c r="K34" s="10">
        <v>0.35299999999999998</v>
      </c>
      <c r="L34" s="10">
        <v>0.45100000000000001</v>
      </c>
      <c r="M34" s="10">
        <v>0.54900000000000004</v>
      </c>
      <c r="N34" s="10">
        <v>0.64700000000000002</v>
      </c>
      <c r="O34" s="10">
        <v>0.745</v>
      </c>
      <c r="P34" s="10">
        <v>0.84299999999999997</v>
      </c>
      <c r="W34" s="10">
        <v>-0.24</v>
      </c>
      <c r="X34" s="10">
        <v>0.2</v>
      </c>
      <c r="Y34" s="10">
        <v>0.64</v>
      </c>
      <c r="Z34" s="10">
        <v>1.07</v>
      </c>
      <c r="AA34" s="10">
        <v>1.51</v>
      </c>
      <c r="AB34" s="10">
        <v>1.94</v>
      </c>
    </row>
    <row r="35" spans="2:28" x14ac:dyDescent="0.2">
      <c r="B35" s="10">
        <v>100</v>
      </c>
      <c r="C35" s="10">
        <v>125</v>
      </c>
      <c r="D35" s="10">
        <v>150</v>
      </c>
      <c r="E35" s="10">
        <v>175</v>
      </c>
      <c r="F35" s="10">
        <v>200</v>
      </c>
      <c r="G35" s="10">
        <v>225</v>
      </c>
      <c r="K35" s="10">
        <v>0.39200000000000002</v>
      </c>
      <c r="L35" s="10">
        <v>0.49</v>
      </c>
      <c r="M35" s="10">
        <v>0.58799999999999997</v>
      </c>
      <c r="N35" s="10">
        <v>0.68600000000000005</v>
      </c>
      <c r="O35" s="10">
        <v>0.78400000000000003</v>
      </c>
      <c r="P35" s="10">
        <v>0.88200000000000001</v>
      </c>
      <c r="W35" s="10">
        <v>-0.06</v>
      </c>
      <c r="X35" s="10">
        <v>0.37</v>
      </c>
      <c r="Y35" s="10">
        <v>0.81</v>
      </c>
      <c r="Z35" s="10">
        <v>1.25</v>
      </c>
      <c r="AA35" s="10">
        <v>1.68</v>
      </c>
      <c r="AB35" s="10">
        <v>2.12</v>
      </c>
    </row>
  </sheetData>
  <mergeCells count="2">
    <mergeCell ref="A1:J1"/>
    <mergeCell ref="B2:Z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C56"/>
  <sheetViews>
    <sheetView topLeftCell="A12" workbookViewId="0">
      <selection activeCell="V42" sqref="V42"/>
    </sheetView>
  </sheetViews>
  <sheetFormatPr baseColWidth="10" defaultColWidth="8.83203125" defaultRowHeight="15" x14ac:dyDescent="0.2"/>
  <cols>
    <col min="1" max="1" width="21" customWidth="1"/>
    <col min="2" max="2" width="15.6640625" customWidth="1"/>
    <col min="3" max="9" width="5" customWidth="1"/>
    <col min="10" max="10" width="13.6640625" customWidth="1"/>
    <col min="11" max="11" width="5" customWidth="1"/>
    <col min="12" max="12" width="11.1640625" customWidth="1"/>
    <col min="13" max="17" width="5" customWidth="1"/>
    <col min="18" max="18" width="14.1640625" customWidth="1"/>
    <col min="19" max="21" width="5" customWidth="1"/>
    <col min="22" max="22" width="15" customWidth="1"/>
    <col min="23" max="31" width="5" customWidth="1"/>
  </cols>
  <sheetData>
    <row r="1" spans="1:26" x14ac:dyDescent="0.2">
      <c r="A1" s="32" t="s">
        <v>37</v>
      </c>
      <c r="B1" s="33"/>
      <c r="C1" s="33"/>
      <c r="D1" s="33"/>
      <c r="E1" s="33"/>
      <c r="F1" s="33"/>
      <c r="G1" s="33"/>
      <c r="H1" s="33"/>
      <c r="I1" s="33"/>
      <c r="J1" s="33"/>
    </row>
    <row r="2" spans="1:26" x14ac:dyDescent="0.2">
      <c r="B2" s="40" t="s">
        <v>38</v>
      </c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/>
      <c r="S2" s="35"/>
      <c r="T2" s="35"/>
      <c r="U2" s="35"/>
      <c r="V2" s="35"/>
      <c r="W2" s="35"/>
      <c r="X2" s="35"/>
      <c r="Y2" s="35"/>
      <c r="Z2" s="36"/>
    </row>
    <row r="4" spans="1:26" x14ac:dyDescent="0.2">
      <c r="B4" s="3" t="s">
        <v>39</v>
      </c>
    </row>
    <row r="6" spans="1:26" x14ac:dyDescent="0.2">
      <c r="B6" s="5" t="s">
        <v>40</v>
      </c>
      <c r="J6" s="6" t="s">
        <v>41</v>
      </c>
      <c r="R6" s="7" t="s">
        <v>42</v>
      </c>
    </row>
    <row r="7" spans="1:26" x14ac:dyDescent="0.2">
      <c r="B7" s="8">
        <v>2.25</v>
      </c>
      <c r="C7" s="8">
        <v>1.31</v>
      </c>
      <c r="D7" s="8">
        <v>0.45</v>
      </c>
      <c r="E7" s="8">
        <v>-0.41</v>
      </c>
      <c r="F7" s="8">
        <v>-1.26</v>
      </c>
      <c r="G7" s="8">
        <v>-1.69</v>
      </c>
      <c r="J7" s="9">
        <v>-0.28999999999999998</v>
      </c>
      <c r="K7" s="9">
        <v>7.0000000000000007E-2</v>
      </c>
      <c r="L7" s="9">
        <v>0.42</v>
      </c>
      <c r="M7" s="9">
        <v>0.77</v>
      </c>
      <c r="N7" s="9">
        <v>1.1200000000000001</v>
      </c>
      <c r="O7" s="9">
        <v>1.47</v>
      </c>
      <c r="R7" s="10">
        <v>-0.93</v>
      </c>
      <c r="S7" s="10">
        <v>-0.5</v>
      </c>
      <c r="T7" s="10">
        <v>-0.06</v>
      </c>
      <c r="U7" s="10">
        <v>0.37</v>
      </c>
      <c r="V7" s="10">
        <v>0.81</v>
      </c>
      <c r="W7" s="10">
        <v>1.25</v>
      </c>
    </row>
    <row r="8" spans="1:26" x14ac:dyDescent="0.2">
      <c r="B8" s="8">
        <v>1.82</v>
      </c>
      <c r="C8" s="8">
        <v>0.96</v>
      </c>
      <c r="D8" s="8">
        <v>0.11</v>
      </c>
      <c r="E8" s="8">
        <v>-0.75</v>
      </c>
      <c r="F8" s="8">
        <v>-1.43</v>
      </c>
      <c r="G8" s="8">
        <v>-1.78</v>
      </c>
      <c r="J8" s="9">
        <v>-0.46</v>
      </c>
      <c r="K8" s="9">
        <v>-0.11</v>
      </c>
      <c r="L8" s="9">
        <v>0.24</v>
      </c>
      <c r="M8" s="9">
        <v>0.59</v>
      </c>
      <c r="N8" s="9">
        <v>0.94</v>
      </c>
      <c r="O8" s="9">
        <v>1.29</v>
      </c>
      <c r="R8" s="10">
        <v>-0.76</v>
      </c>
      <c r="S8" s="10">
        <v>-0.32</v>
      </c>
      <c r="T8" s="10">
        <v>0.11</v>
      </c>
      <c r="U8" s="10">
        <v>0.55000000000000004</v>
      </c>
      <c r="V8" s="10">
        <v>0.98</v>
      </c>
      <c r="W8" s="10">
        <v>1.42</v>
      </c>
    </row>
    <row r="9" spans="1:26" x14ac:dyDescent="0.2">
      <c r="B9" s="8">
        <v>1.48</v>
      </c>
      <c r="C9" s="8">
        <v>0.62</v>
      </c>
      <c r="D9" s="8">
        <v>-0.06</v>
      </c>
      <c r="E9" s="8">
        <v>-0.92</v>
      </c>
      <c r="F9" s="8">
        <v>-1.52</v>
      </c>
      <c r="G9" s="8">
        <v>-1.86</v>
      </c>
      <c r="J9" s="9">
        <v>-0.64</v>
      </c>
      <c r="K9" s="9">
        <v>-0.28999999999999998</v>
      </c>
      <c r="L9" s="9">
        <v>7.0000000000000007E-2</v>
      </c>
      <c r="M9" s="9">
        <v>0.42</v>
      </c>
      <c r="N9" s="9">
        <v>0.77</v>
      </c>
      <c r="O9" s="9">
        <v>1.1200000000000001</v>
      </c>
      <c r="R9" s="10">
        <v>-0.57999999999999996</v>
      </c>
      <c r="S9" s="10">
        <v>-0.15</v>
      </c>
      <c r="T9" s="10">
        <v>0.28999999999999998</v>
      </c>
      <c r="U9" s="10">
        <v>0.72</v>
      </c>
      <c r="V9" s="10">
        <v>1.1599999999999999</v>
      </c>
      <c r="W9" s="10">
        <v>1.59</v>
      </c>
    </row>
    <row r="10" spans="1:26" x14ac:dyDescent="0.2">
      <c r="B10" s="8">
        <v>1.1399999999999999</v>
      </c>
      <c r="C10" s="8">
        <v>0.28000000000000003</v>
      </c>
      <c r="D10" s="8">
        <v>-0.41</v>
      </c>
      <c r="E10" s="8">
        <v>-1.0900000000000001</v>
      </c>
      <c r="F10" s="8">
        <v>-1.6</v>
      </c>
      <c r="G10" s="8">
        <v>-1.95</v>
      </c>
      <c r="J10" s="9">
        <v>-0.81</v>
      </c>
      <c r="K10" s="9">
        <v>-0.46</v>
      </c>
      <c r="L10" s="9">
        <v>-0.11</v>
      </c>
      <c r="M10" s="9">
        <v>0.24</v>
      </c>
      <c r="N10" s="9">
        <v>0.59</v>
      </c>
      <c r="O10" s="9">
        <v>0.94</v>
      </c>
      <c r="R10" s="10">
        <v>-0.41</v>
      </c>
      <c r="S10" s="10">
        <v>0.03</v>
      </c>
      <c r="T10" s="10">
        <v>0.46</v>
      </c>
      <c r="U10" s="10">
        <v>0.9</v>
      </c>
      <c r="V10" s="10">
        <v>1.33</v>
      </c>
      <c r="W10" s="10">
        <v>1.77</v>
      </c>
    </row>
    <row r="11" spans="1:26" x14ac:dyDescent="0.2">
      <c r="B11" s="8">
        <v>0.79</v>
      </c>
      <c r="C11" s="8">
        <v>-0.06</v>
      </c>
      <c r="D11" s="8">
        <v>-0.75</v>
      </c>
      <c r="E11" s="8">
        <v>-1.26</v>
      </c>
      <c r="F11" s="8">
        <v>-1.69</v>
      </c>
      <c r="G11" s="8">
        <v>-2.0299999999999998</v>
      </c>
      <c r="J11" s="9">
        <v>-0.99</v>
      </c>
      <c r="K11" s="9">
        <v>-0.64</v>
      </c>
      <c r="L11" s="9">
        <v>-0.28999999999999998</v>
      </c>
      <c r="M11" s="9">
        <v>7.0000000000000007E-2</v>
      </c>
      <c r="N11" s="9">
        <v>0.42</v>
      </c>
      <c r="O11" s="9">
        <v>0.77</v>
      </c>
      <c r="R11" s="10">
        <v>-0.24</v>
      </c>
      <c r="S11" s="10">
        <v>0.2</v>
      </c>
      <c r="T11" s="10">
        <v>0.64</v>
      </c>
      <c r="U11" s="10">
        <v>1.07</v>
      </c>
      <c r="V11" s="10">
        <v>1.51</v>
      </c>
      <c r="W11" s="10">
        <v>1.94</v>
      </c>
    </row>
    <row r="12" spans="1:26" x14ac:dyDescent="0.2">
      <c r="B12" s="8">
        <v>0.45</v>
      </c>
      <c r="C12" s="8">
        <v>-0.41</v>
      </c>
      <c r="D12" s="8">
        <v>-1.0900000000000001</v>
      </c>
      <c r="E12" s="8">
        <v>-1.43</v>
      </c>
      <c r="F12" s="8">
        <v>-1.78</v>
      </c>
      <c r="G12" s="8">
        <v>-2.12</v>
      </c>
      <c r="J12" s="9">
        <v>-1.1599999999999999</v>
      </c>
      <c r="K12" s="9">
        <v>-0.81</v>
      </c>
      <c r="L12" s="9">
        <v>-0.46</v>
      </c>
      <c r="M12" s="9">
        <v>-0.11</v>
      </c>
      <c r="N12" s="9">
        <v>0.24</v>
      </c>
      <c r="O12" s="9">
        <v>0.59</v>
      </c>
      <c r="R12" s="10">
        <v>-0.06</v>
      </c>
      <c r="S12" s="10">
        <v>0.37</v>
      </c>
      <c r="T12" s="10">
        <v>0.81</v>
      </c>
      <c r="U12" s="10">
        <v>1.25</v>
      </c>
      <c r="V12" s="10">
        <v>1.68</v>
      </c>
      <c r="W12" s="10">
        <v>2.12</v>
      </c>
    </row>
    <row r="15" spans="1:26" x14ac:dyDescent="0.2">
      <c r="B15" s="37" t="s">
        <v>43</v>
      </c>
      <c r="C15" s="35"/>
      <c r="D15" s="35"/>
      <c r="E15" s="35"/>
      <c r="F15" s="35"/>
      <c r="G15" s="35"/>
      <c r="H15" s="35"/>
      <c r="I15" s="35"/>
      <c r="J15" s="35"/>
      <c r="K15" s="35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6"/>
    </row>
    <row r="17" spans="2:29" x14ac:dyDescent="0.2">
      <c r="B17" s="5" t="s">
        <v>44</v>
      </c>
      <c r="L17" s="6" t="s">
        <v>45</v>
      </c>
      <c r="V17" s="7" t="s">
        <v>46</v>
      </c>
    </row>
    <row r="18" spans="2:29" x14ac:dyDescent="0.2">
      <c r="B18" s="12">
        <v>0</v>
      </c>
      <c r="C18" s="12">
        <v>0</v>
      </c>
      <c r="D18" s="12">
        <v>0</v>
      </c>
      <c r="E18" s="12">
        <v>0</v>
      </c>
      <c r="F18" s="12">
        <v>0</v>
      </c>
      <c r="G18" s="12">
        <v>0</v>
      </c>
      <c r="H18" s="12">
        <v>0</v>
      </c>
      <c r="I18" s="12">
        <v>0</v>
      </c>
      <c r="L18" s="12">
        <v>0</v>
      </c>
      <c r="M18" s="12">
        <v>0</v>
      </c>
      <c r="N18" s="12">
        <v>0</v>
      </c>
      <c r="O18" s="12">
        <v>0</v>
      </c>
      <c r="P18" s="12">
        <v>0</v>
      </c>
      <c r="Q18" s="12">
        <v>0</v>
      </c>
      <c r="R18" s="12">
        <v>0</v>
      </c>
      <c r="S18" s="12">
        <v>0</v>
      </c>
      <c r="V18" s="12">
        <v>0</v>
      </c>
      <c r="W18" s="12">
        <v>0</v>
      </c>
      <c r="X18" s="12">
        <v>0</v>
      </c>
      <c r="Y18" s="12">
        <v>0</v>
      </c>
      <c r="Z18" s="12">
        <v>0</v>
      </c>
      <c r="AA18" s="12">
        <v>0</v>
      </c>
      <c r="AB18" s="12">
        <v>0</v>
      </c>
      <c r="AC18" s="12">
        <v>0</v>
      </c>
    </row>
    <row r="19" spans="2:29" x14ac:dyDescent="0.2">
      <c r="B19" s="12">
        <v>0</v>
      </c>
      <c r="C19" s="8">
        <v>2.25</v>
      </c>
      <c r="D19" s="8">
        <v>1.31</v>
      </c>
      <c r="E19" s="8">
        <v>0.45</v>
      </c>
      <c r="F19" s="8">
        <v>-0.41</v>
      </c>
      <c r="G19" s="8">
        <v>-1.26</v>
      </c>
      <c r="H19" s="8">
        <v>-1.69</v>
      </c>
      <c r="I19" s="12">
        <v>0</v>
      </c>
      <c r="L19" s="12">
        <v>0</v>
      </c>
      <c r="M19" s="9">
        <v>-0.28999999999999998</v>
      </c>
      <c r="N19" s="9">
        <v>7.0000000000000007E-2</v>
      </c>
      <c r="O19" s="9">
        <v>0.42</v>
      </c>
      <c r="P19" s="9">
        <v>0.77</v>
      </c>
      <c r="Q19" s="9">
        <v>1.1200000000000001</v>
      </c>
      <c r="R19" s="9">
        <v>1.47</v>
      </c>
      <c r="S19" s="12">
        <v>0</v>
      </c>
      <c r="V19" s="12">
        <v>0</v>
      </c>
      <c r="W19" s="10">
        <v>-0.93</v>
      </c>
      <c r="X19" s="10">
        <v>-0.5</v>
      </c>
      <c r="Y19" s="10">
        <v>-0.06</v>
      </c>
      <c r="Z19" s="10">
        <v>0.37</v>
      </c>
      <c r="AA19" s="10">
        <v>0.81</v>
      </c>
      <c r="AB19" s="10">
        <v>1.25</v>
      </c>
      <c r="AC19" s="12">
        <v>0</v>
      </c>
    </row>
    <row r="20" spans="2:29" x14ac:dyDescent="0.2">
      <c r="B20" s="12">
        <v>0</v>
      </c>
      <c r="C20" s="8">
        <v>1.82</v>
      </c>
      <c r="D20" s="8">
        <v>0.96</v>
      </c>
      <c r="E20" s="8">
        <v>0.11</v>
      </c>
      <c r="F20" s="8">
        <v>-0.75</v>
      </c>
      <c r="G20" s="8">
        <v>-1.43</v>
      </c>
      <c r="H20" s="8">
        <v>-1.78</v>
      </c>
      <c r="I20" s="12">
        <v>0</v>
      </c>
      <c r="L20" s="12">
        <v>0</v>
      </c>
      <c r="M20" s="9">
        <v>-0.46</v>
      </c>
      <c r="N20" s="9">
        <v>-0.11</v>
      </c>
      <c r="O20" s="9">
        <v>0.24</v>
      </c>
      <c r="P20" s="9">
        <v>0.59</v>
      </c>
      <c r="Q20" s="9">
        <v>0.94</v>
      </c>
      <c r="R20" s="9">
        <v>1.29</v>
      </c>
      <c r="S20" s="12">
        <v>0</v>
      </c>
      <c r="V20" s="12">
        <v>0</v>
      </c>
      <c r="W20" s="10">
        <v>-0.76</v>
      </c>
      <c r="X20" s="10">
        <v>-0.32</v>
      </c>
      <c r="Y20" s="10">
        <v>0.11</v>
      </c>
      <c r="Z20" s="10">
        <v>0.55000000000000004</v>
      </c>
      <c r="AA20" s="10">
        <v>0.98</v>
      </c>
      <c r="AB20" s="10">
        <v>1.42</v>
      </c>
      <c r="AC20" s="12">
        <v>0</v>
      </c>
    </row>
    <row r="21" spans="2:29" x14ac:dyDescent="0.2">
      <c r="B21" s="12">
        <v>0</v>
      </c>
      <c r="C21" s="8">
        <v>1.48</v>
      </c>
      <c r="D21" s="8">
        <v>0.62</v>
      </c>
      <c r="E21" s="8">
        <v>-0.06</v>
      </c>
      <c r="F21" s="8">
        <v>-0.92</v>
      </c>
      <c r="G21" s="8">
        <v>-1.52</v>
      </c>
      <c r="H21" s="8">
        <v>-1.86</v>
      </c>
      <c r="I21" s="12">
        <v>0</v>
      </c>
      <c r="L21" s="12">
        <v>0</v>
      </c>
      <c r="M21" s="9">
        <v>-0.64</v>
      </c>
      <c r="N21" s="9">
        <v>-0.28999999999999998</v>
      </c>
      <c r="O21" s="9">
        <v>7.0000000000000007E-2</v>
      </c>
      <c r="P21" s="9">
        <v>0.42</v>
      </c>
      <c r="Q21" s="9">
        <v>0.77</v>
      </c>
      <c r="R21" s="9">
        <v>1.1200000000000001</v>
      </c>
      <c r="S21" s="12">
        <v>0</v>
      </c>
      <c r="V21" s="12">
        <v>0</v>
      </c>
      <c r="W21" s="10">
        <v>-0.57999999999999996</v>
      </c>
      <c r="X21" s="10">
        <v>-0.15</v>
      </c>
      <c r="Y21" s="10">
        <v>0.28999999999999998</v>
      </c>
      <c r="Z21" s="10">
        <v>0.72</v>
      </c>
      <c r="AA21" s="10">
        <v>1.1599999999999999</v>
      </c>
      <c r="AB21" s="10">
        <v>1.59</v>
      </c>
      <c r="AC21" s="12">
        <v>0</v>
      </c>
    </row>
    <row r="22" spans="2:29" x14ac:dyDescent="0.2">
      <c r="B22" s="12">
        <v>0</v>
      </c>
      <c r="C22" s="8">
        <v>1.1399999999999999</v>
      </c>
      <c r="D22" s="8">
        <v>0.28000000000000003</v>
      </c>
      <c r="E22" s="8">
        <v>-0.41</v>
      </c>
      <c r="F22" s="8">
        <v>-1.0900000000000001</v>
      </c>
      <c r="G22" s="8">
        <v>-1.6</v>
      </c>
      <c r="H22" s="8">
        <v>-1.95</v>
      </c>
      <c r="I22" s="12">
        <v>0</v>
      </c>
      <c r="L22" s="12">
        <v>0</v>
      </c>
      <c r="M22" s="9">
        <v>-0.81</v>
      </c>
      <c r="N22" s="9">
        <v>-0.46</v>
      </c>
      <c r="O22" s="9">
        <v>-0.11</v>
      </c>
      <c r="P22" s="9">
        <v>0.24</v>
      </c>
      <c r="Q22" s="9">
        <v>0.59</v>
      </c>
      <c r="R22" s="9">
        <v>0.94</v>
      </c>
      <c r="S22" s="12">
        <v>0</v>
      </c>
      <c r="V22" s="12">
        <v>0</v>
      </c>
      <c r="W22" s="10">
        <v>-0.41</v>
      </c>
      <c r="X22" s="10">
        <v>0.03</v>
      </c>
      <c r="Y22" s="10">
        <v>0.46</v>
      </c>
      <c r="Z22" s="10">
        <v>0.9</v>
      </c>
      <c r="AA22" s="10">
        <v>1.33</v>
      </c>
      <c r="AB22" s="10">
        <v>1.77</v>
      </c>
      <c r="AC22" s="12">
        <v>0</v>
      </c>
    </row>
    <row r="23" spans="2:29" x14ac:dyDescent="0.2">
      <c r="B23" s="12">
        <v>0</v>
      </c>
      <c r="C23" s="8">
        <v>0.79</v>
      </c>
      <c r="D23" s="8">
        <v>-0.06</v>
      </c>
      <c r="E23" s="8">
        <v>-0.75</v>
      </c>
      <c r="F23" s="8">
        <v>-1.26</v>
      </c>
      <c r="G23" s="8">
        <v>-1.69</v>
      </c>
      <c r="H23" s="8">
        <v>-2.0299999999999998</v>
      </c>
      <c r="I23" s="12">
        <v>0</v>
      </c>
      <c r="L23" s="12">
        <v>0</v>
      </c>
      <c r="M23" s="9">
        <v>-0.99</v>
      </c>
      <c r="N23" s="9">
        <v>-0.64</v>
      </c>
      <c r="O23" s="9">
        <v>-0.28999999999999998</v>
      </c>
      <c r="P23" s="9">
        <v>7.0000000000000007E-2</v>
      </c>
      <c r="Q23" s="9">
        <v>0.42</v>
      </c>
      <c r="R23" s="9">
        <v>0.77</v>
      </c>
      <c r="S23" s="12">
        <v>0</v>
      </c>
      <c r="V23" s="12">
        <v>0</v>
      </c>
      <c r="W23" s="10">
        <v>-0.24</v>
      </c>
      <c r="X23" s="10">
        <v>0.2</v>
      </c>
      <c r="Y23" s="10">
        <v>0.64</v>
      </c>
      <c r="Z23" s="10">
        <v>1.07</v>
      </c>
      <c r="AA23" s="10">
        <v>1.51</v>
      </c>
      <c r="AB23" s="10">
        <v>1.94</v>
      </c>
      <c r="AC23" s="12">
        <v>0</v>
      </c>
    </row>
    <row r="24" spans="2:29" x14ac:dyDescent="0.2">
      <c r="B24" s="12">
        <v>0</v>
      </c>
      <c r="C24" s="8">
        <v>0.45</v>
      </c>
      <c r="D24" s="8">
        <v>-0.41</v>
      </c>
      <c r="E24" s="8">
        <v>-1.0900000000000001</v>
      </c>
      <c r="F24" s="8">
        <v>-1.43</v>
      </c>
      <c r="G24" s="8">
        <v>-1.78</v>
      </c>
      <c r="H24" s="8">
        <v>-2.12</v>
      </c>
      <c r="I24" s="12">
        <v>0</v>
      </c>
      <c r="L24" s="12">
        <v>0</v>
      </c>
      <c r="M24" s="9">
        <v>-1.1599999999999999</v>
      </c>
      <c r="N24" s="9">
        <v>-0.81</v>
      </c>
      <c r="O24" s="9">
        <v>-0.46</v>
      </c>
      <c r="P24" s="9">
        <v>-0.11</v>
      </c>
      <c r="Q24" s="9">
        <v>0.24</v>
      </c>
      <c r="R24" s="9">
        <v>0.59</v>
      </c>
      <c r="S24" s="12">
        <v>0</v>
      </c>
      <c r="V24" s="12">
        <v>0</v>
      </c>
      <c r="W24" s="10">
        <v>-0.06</v>
      </c>
      <c r="X24" s="10">
        <v>0.37</v>
      </c>
      <c r="Y24" s="10">
        <v>0.81</v>
      </c>
      <c r="Z24" s="10">
        <v>1.25</v>
      </c>
      <c r="AA24" s="10">
        <v>1.68</v>
      </c>
      <c r="AB24" s="10">
        <v>2.12</v>
      </c>
      <c r="AC24" s="12">
        <v>0</v>
      </c>
    </row>
    <row r="25" spans="2:29" x14ac:dyDescent="0.2">
      <c r="B25" s="12">
        <v>0</v>
      </c>
      <c r="C25" s="12">
        <v>0</v>
      </c>
      <c r="D25" s="12">
        <v>0</v>
      </c>
      <c r="E25" s="12">
        <v>0</v>
      </c>
      <c r="F25" s="12">
        <v>0</v>
      </c>
      <c r="G25" s="12">
        <v>0</v>
      </c>
      <c r="H25" s="12">
        <v>0</v>
      </c>
      <c r="I25" s="12">
        <v>0</v>
      </c>
      <c r="L25" s="12">
        <v>0</v>
      </c>
      <c r="M25" s="12">
        <v>0</v>
      </c>
      <c r="N25" s="12">
        <v>0</v>
      </c>
      <c r="O25" s="12">
        <v>0</v>
      </c>
      <c r="P25" s="12">
        <v>0</v>
      </c>
      <c r="Q25" s="12">
        <v>0</v>
      </c>
      <c r="R25" s="12">
        <v>0</v>
      </c>
      <c r="S25" s="12">
        <v>0</v>
      </c>
      <c r="V25" s="12">
        <v>0</v>
      </c>
      <c r="W25" s="12">
        <v>0</v>
      </c>
      <c r="X25" s="12">
        <v>0</v>
      </c>
      <c r="Y25" s="12">
        <v>0</v>
      </c>
      <c r="Z25" s="12">
        <v>0</v>
      </c>
      <c r="AA25" s="12">
        <v>0</v>
      </c>
      <c r="AB25" s="12">
        <v>0</v>
      </c>
      <c r="AC25" s="12">
        <v>0</v>
      </c>
    </row>
    <row r="27" spans="2:29" x14ac:dyDescent="0.2">
      <c r="B27" s="12" t="s">
        <v>47</v>
      </c>
    </row>
    <row r="30" spans="2:29" x14ac:dyDescent="0.2">
      <c r="B30" s="4" t="s">
        <v>48</v>
      </c>
    </row>
    <row r="32" spans="2:29" x14ac:dyDescent="0.2">
      <c r="B32" s="5" t="s">
        <v>6</v>
      </c>
      <c r="G32" s="6" t="s">
        <v>7</v>
      </c>
      <c r="L32" s="7" t="s">
        <v>8</v>
      </c>
    </row>
    <row r="33" spans="2:28" x14ac:dyDescent="0.2">
      <c r="B33" s="8">
        <v>1</v>
      </c>
      <c r="C33" s="8">
        <v>0</v>
      </c>
      <c r="D33" s="8">
        <v>-1</v>
      </c>
      <c r="G33" s="9">
        <v>1</v>
      </c>
      <c r="H33" s="9">
        <v>2</v>
      </c>
      <c r="I33" s="9">
        <v>1</v>
      </c>
      <c r="L33" s="10">
        <v>0</v>
      </c>
      <c r="M33" s="10">
        <v>-1</v>
      </c>
      <c r="N33" s="10">
        <v>0</v>
      </c>
      <c r="Q33" s="2" t="s">
        <v>9</v>
      </c>
    </row>
    <row r="34" spans="2:28" x14ac:dyDescent="0.2">
      <c r="B34" s="8">
        <v>2</v>
      </c>
      <c r="C34" s="8">
        <v>0</v>
      </c>
      <c r="D34" s="8">
        <v>-2</v>
      </c>
      <c r="G34" s="9">
        <v>0</v>
      </c>
      <c r="H34" s="9">
        <v>0</v>
      </c>
      <c r="I34" s="9">
        <v>0</v>
      </c>
      <c r="L34" s="10">
        <v>-1</v>
      </c>
      <c r="M34" s="10">
        <v>4</v>
      </c>
      <c r="N34" s="10">
        <v>-1</v>
      </c>
    </row>
    <row r="35" spans="2:28" x14ac:dyDescent="0.2">
      <c r="B35" s="8">
        <v>1</v>
      </c>
      <c r="C35" s="8">
        <v>0</v>
      </c>
      <c r="D35" s="8">
        <v>-1</v>
      </c>
      <c r="G35" s="9">
        <v>-1</v>
      </c>
      <c r="H35" s="9">
        <v>-2</v>
      </c>
      <c r="I35" s="9">
        <v>-1</v>
      </c>
      <c r="L35" s="10">
        <v>0</v>
      </c>
      <c r="M35" s="10">
        <v>-1</v>
      </c>
      <c r="N35" s="10">
        <v>0</v>
      </c>
    </row>
    <row r="38" spans="2:28" x14ac:dyDescent="0.2">
      <c r="B38" s="40" t="s">
        <v>49</v>
      </c>
      <c r="C38" s="35"/>
      <c r="D38" s="35"/>
      <c r="E38" s="35"/>
      <c r="F38" s="35"/>
      <c r="G38" s="35"/>
      <c r="H38" s="35"/>
      <c r="I38" s="35"/>
      <c r="J38" s="35"/>
      <c r="K38" s="35"/>
      <c r="L38" s="35"/>
      <c r="M38" s="35"/>
      <c r="N38" s="35"/>
      <c r="O38" s="35"/>
      <c r="P38" s="35"/>
      <c r="Q38" s="35"/>
      <c r="R38" s="35"/>
      <c r="S38" s="35"/>
      <c r="T38" s="35"/>
      <c r="U38" s="35"/>
      <c r="V38" s="35"/>
      <c r="W38" s="35"/>
      <c r="X38" s="35"/>
      <c r="Y38" s="35"/>
      <c r="Z38" s="36"/>
      <c r="AB38" t="s">
        <v>123</v>
      </c>
    </row>
    <row r="39" spans="2:28" x14ac:dyDescent="0.2">
      <c r="B39" s="2" t="s">
        <v>50</v>
      </c>
    </row>
    <row r="41" spans="2:28" x14ac:dyDescent="0.2">
      <c r="B41" s="5" t="s">
        <v>51</v>
      </c>
      <c r="J41" s="6" t="s">
        <v>52</v>
      </c>
      <c r="R41" s="7" t="s">
        <v>53</v>
      </c>
    </row>
    <row r="42" spans="2:28" x14ac:dyDescent="0.2">
      <c r="B42" s="8">
        <v>-3.58</v>
      </c>
      <c r="C42" s="8">
        <v>5.31</v>
      </c>
      <c r="D42" s="8">
        <v>5.14</v>
      </c>
      <c r="E42" s="8">
        <v>4.97</v>
      </c>
      <c r="F42" s="8">
        <v>3.6</v>
      </c>
      <c r="G42" s="8">
        <v>-3.96</v>
      </c>
      <c r="J42" s="9">
        <v>1.03</v>
      </c>
      <c r="K42" s="9">
        <v>0.44</v>
      </c>
      <c r="L42" s="9">
        <v>-0.96</v>
      </c>
      <c r="M42" s="9">
        <v>-2.36</v>
      </c>
      <c r="N42" s="9">
        <v>-3.76</v>
      </c>
      <c r="O42" s="9">
        <v>-3.52</v>
      </c>
      <c r="R42" s="10">
        <v>-2.48</v>
      </c>
      <c r="S42" s="10">
        <v>-0.67</v>
      </c>
      <c r="T42" s="10">
        <v>-0.24</v>
      </c>
      <c r="U42" s="10">
        <v>0.2</v>
      </c>
      <c r="V42" s="10">
        <v>0.64</v>
      </c>
      <c r="W42" s="10">
        <v>2.75</v>
      </c>
    </row>
    <row r="43" spans="2:28" x14ac:dyDescent="0.2">
      <c r="B43" s="8">
        <v>-3.86</v>
      </c>
      <c r="C43" s="8">
        <v>6.76</v>
      </c>
      <c r="D43" s="8">
        <v>6.68</v>
      </c>
      <c r="E43" s="8">
        <v>6.25</v>
      </c>
      <c r="F43" s="8">
        <v>4.28</v>
      </c>
      <c r="G43" s="8">
        <v>-5.65</v>
      </c>
      <c r="J43" s="9">
        <v>1.05</v>
      </c>
      <c r="K43" s="9">
        <v>1.4</v>
      </c>
      <c r="L43" s="9">
        <v>1.4</v>
      </c>
      <c r="M43" s="9">
        <v>1.4</v>
      </c>
      <c r="N43" s="9">
        <v>1.4</v>
      </c>
      <c r="O43" s="9">
        <v>1.05</v>
      </c>
      <c r="R43" s="10">
        <v>-1.19</v>
      </c>
      <c r="S43" s="10">
        <v>0</v>
      </c>
      <c r="T43" s="10">
        <v>0</v>
      </c>
      <c r="U43" s="10">
        <v>0</v>
      </c>
      <c r="V43" s="10">
        <v>0</v>
      </c>
      <c r="W43" s="10">
        <v>1.86</v>
      </c>
    </row>
    <row r="44" spans="2:28" x14ac:dyDescent="0.2">
      <c r="B44" s="8">
        <v>-2.4900000000000002</v>
      </c>
      <c r="C44" s="8">
        <v>6.34</v>
      </c>
      <c r="D44" s="8">
        <v>6.16</v>
      </c>
      <c r="E44" s="8">
        <v>5.65</v>
      </c>
      <c r="F44" s="8">
        <v>3.77</v>
      </c>
      <c r="G44" s="8">
        <v>-6.07</v>
      </c>
      <c r="J44" s="9">
        <v>1.05</v>
      </c>
      <c r="K44" s="9">
        <v>1.4</v>
      </c>
      <c r="L44" s="9">
        <v>1.4</v>
      </c>
      <c r="M44" s="9">
        <v>1.4</v>
      </c>
      <c r="N44" s="9">
        <v>1.4</v>
      </c>
      <c r="O44" s="9">
        <v>1.05</v>
      </c>
      <c r="R44" s="10">
        <v>-1.02</v>
      </c>
      <c r="S44" s="10">
        <v>0</v>
      </c>
      <c r="T44" s="10">
        <v>0</v>
      </c>
      <c r="U44" s="10">
        <v>0</v>
      </c>
      <c r="V44" s="10">
        <v>0</v>
      </c>
      <c r="W44" s="10">
        <v>2.0299999999999998</v>
      </c>
    </row>
    <row r="45" spans="2:28" x14ac:dyDescent="0.2">
      <c r="B45" s="8">
        <v>-1.1200000000000001</v>
      </c>
      <c r="C45" s="8">
        <v>6.16</v>
      </c>
      <c r="D45" s="8">
        <v>5.48</v>
      </c>
      <c r="E45" s="8">
        <v>4.79</v>
      </c>
      <c r="F45" s="8">
        <v>3.42</v>
      </c>
      <c r="G45" s="8">
        <v>-6.42</v>
      </c>
      <c r="J45" s="9">
        <v>1.05</v>
      </c>
      <c r="K45" s="9">
        <v>1.4</v>
      </c>
      <c r="L45" s="9">
        <v>1.4</v>
      </c>
      <c r="M45" s="9">
        <v>1.4</v>
      </c>
      <c r="N45" s="9">
        <v>1.4</v>
      </c>
      <c r="O45" s="9">
        <v>1.05</v>
      </c>
      <c r="R45" s="10">
        <v>-0.85</v>
      </c>
      <c r="S45" s="10">
        <v>0</v>
      </c>
      <c r="T45" s="10">
        <v>0</v>
      </c>
      <c r="U45" s="10">
        <v>0</v>
      </c>
      <c r="V45" s="10">
        <v>0</v>
      </c>
      <c r="W45" s="10">
        <v>2.2000000000000002</v>
      </c>
    </row>
    <row r="46" spans="2:28" x14ac:dyDescent="0.2">
      <c r="B46" s="8">
        <v>0.25</v>
      </c>
      <c r="C46" s="8">
        <v>6.16</v>
      </c>
      <c r="D46" s="8">
        <v>4.79</v>
      </c>
      <c r="E46" s="8">
        <v>3.77</v>
      </c>
      <c r="F46" s="8">
        <v>3.08</v>
      </c>
      <c r="G46" s="8">
        <v>-6.76</v>
      </c>
      <c r="J46" s="9">
        <v>1.05</v>
      </c>
      <c r="K46" s="9">
        <v>1.4</v>
      </c>
      <c r="L46" s="9">
        <v>1.4</v>
      </c>
      <c r="M46" s="9">
        <v>1.4</v>
      </c>
      <c r="N46" s="9">
        <v>1.4</v>
      </c>
      <c r="O46" s="9">
        <v>1.05</v>
      </c>
      <c r="R46" s="10">
        <v>-0.67</v>
      </c>
      <c r="S46" s="10">
        <v>0</v>
      </c>
      <c r="T46" s="10">
        <v>0</v>
      </c>
      <c r="U46" s="10">
        <v>0</v>
      </c>
      <c r="V46" s="10">
        <v>0</v>
      </c>
      <c r="W46" s="10">
        <v>2.38</v>
      </c>
    </row>
    <row r="47" spans="2:28" x14ac:dyDescent="0.2">
      <c r="B47" s="8">
        <v>0.87</v>
      </c>
      <c r="C47" s="8">
        <v>4.62</v>
      </c>
      <c r="D47" s="8">
        <v>3.25</v>
      </c>
      <c r="E47" s="8">
        <v>2.31</v>
      </c>
      <c r="F47" s="8">
        <v>2.14</v>
      </c>
      <c r="G47" s="8">
        <v>-5.24</v>
      </c>
      <c r="J47" s="9">
        <v>-2.61</v>
      </c>
      <c r="K47" s="9">
        <v>-2.54</v>
      </c>
      <c r="L47" s="9">
        <v>-1.1399999999999999</v>
      </c>
      <c r="M47" s="9">
        <v>0.26</v>
      </c>
      <c r="N47" s="9">
        <v>1.66</v>
      </c>
      <c r="O47" s="9">
        <v>1.95</v>
      </c>
      <c r="R47" s="10">
        <v>-0.38</v>
      </c>
      <c r="S47" s="10">
        <v>0.55000000000000004</v>
      </c>
      <c r="T47" s="10">
        <v>0.98</v>
      </c>
      <c r="U47" s="10">
        <v>1.42</v>
      </c>
      <c r="V47" s="10">
        <v>1.86</v>
      </c>
      <c r="W47" s="10">
        <v>4.84</v>
      </c>
    </row>
    <row r="50" spans="2:14" x14ac:dyDescent="0.2">
      <c r="B50" s="40" t="s">
        <v>54</v>
      </c>
      <c r="C50" s="35"/>
      <c r="D50" s="35"/>
      <c r="E50" s="35"/>
      <c r="F50" s="35"/>
      <c r="G50" s="35"/>
      <c r="H50" s="35"/>
      <c r="I50" s="35"/>
      <c r="J50" s="35"/>
      <c r="K50" s="35"/>
      <c r="L50" s="35"/>
      <c r="M50" s="35"/>
      <c r="N50" s="36"/>
    </row>
    <row r="51" spans="2:14" x14ac:dyDescent="0.2">
      <c r="B51" s="13">
        <v>-5.0199999999999996</v>
      </c>
      <c r="C51" s="13">
        <v>5.08</v>
      </c>
      <c r="D51" s="13">
        <v>3.94</v>
      </c>
      <c r="E51" s="13">
        <v>2.8</v>
      </c>
      <c r="F51" s="13">
        <v>0.47</v>
      </c>
      <c r="G51" s="13">
        <v>-4.7300000000000004</v>
      </c>
      <c r="J51" s="1" t="s">
        <v>55</v>
      </c>
    </row>
    <row r="52" spans="2:14" x14ac:dyDescent="0.2">
      <c r="B52" s="13">
        <v>-4</v>
      </c>
      <c r="C52" s="13">
        <v>8.16</v>
      </c>
      <c r="D52" s="13">
        <v>8.08</v>
      </c>
      <c r="E52" s="13">
        <v>7.65</v>
      </c>
      <c r="F52" s="13">
        <v>5.68</v>
      </c>
      <c r="G52" s="13">
        <v>-2.74</v>
      </c>
      <c r="J52" s="2">
        <f>-3.58 + 1.03 + -2.48 + 0</f>
        <v>-5.0299999999999994</v>
      </c>
    </row>
    <row r="53" spans="2:14" x14ac:dyDescent="0.2">
      <c r="B53" s="13">
        <v>-2.46</v>
      </c>
      <c r="C53" s="13">
        <v>7.74</v>
      </c>
      <c r="D53" s="13">
        <v>7.57</v>
      </c>
      <c r="E53" s="13">
        <v>7.05</v>
      </c>
      <c r="F53" s="13">
        <v>5.17</v>
      </c>
      <c r="G53" s="13">
        <v>-2.99</v>
      </c>
      <c r="J53" s="1">
        <f>-5.02</f>
        <v>-5.0199999999999996</v>
      </c>
    </row>
    <row r="54" spans="2:14" x14ac:dyDescent="0.2">
      <c r="B54" s="13">
        <v>-0.91</v>
      </c>
      <c r="C54" s="13">
        <v>7.57</v>
      </c>
      <c r="D54" s="13">
        <v>6.88</v>
      </c>
      <c r="E54" s="13">
        <v>6.2</v>
      </c>
      <c r="F54" s="13">
        <v>4.83</v>
      </c>
      <c r="G54" s="13">
        <v>-3.16</v>
      </c>
    </row>
    <row r="55" spans="2:14" x14ac:dyDescent="0.2">
      <c r="B55" s="13">
        <v>0.63</v>
      </c>
      <c r="C55" s="13">
        <v>7.57</v>
      </c>
      <c r="D55" s="13">
        <v>6.2</v>
      </c>
      <c r="E55" s="13">
        <v>5.17</v>
      </c>
      <c r="F55" s="13">
        <v>4.4800000000000004</v>
      </c>
      <c r="G55" s="13">
        <v>-3.33</v>
      </c>
    </row>
    <row r="56" spans="2:14" x14ac:dyDescent="0.2">
      <c r="B56" s="13">
        <v>-2.12</v>
      </c>
      <c r="C56" s="13">
        <v>2.63</v>
      </c>
      <c r="D56" s="13">
        <v>3.1</v>
      </c>
      <c r="E56" s="13">
        <v>3.99</v>
      </c>
      <c r="F56" s="13">
        <v>5.66</v>
      </c>
      <c r="G56" s="13">
        <v>1.55</v>
      </c>
    </row>
  </sheetData>
  <mergeCells count="5">
    <mergeCell ref="A1:J1"/>
    <mergeCell ref="B38:Z38"/>
    <mergeCell ref="B2:Z2"/>
    <mergeCell ref="B50:N50"/>
    <mergeCell ref="B15:Z15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P21"/>
  <sheetViews>
    <sheetView workbookViewId="0">
      <selection activeCell="J14" sqref="J14"/>
    </sheetView>
  </sheetViews>
  <sheetFormatPr baseColWidth="10" defaultColWidth="8.83203125" defaultRowHeight="15" x14ac:dyDescent="0.2"/>
  <cols>
    <col min="1" max="1" width="7" customWidth="1"/>
    <col min="2" max="2" width="20.5" customWidth="1"/>
    <col min="3" max="9" width="7" customWidth="1"/>
    <col min="10" max="10" width="14.5" customWidth="1"/>
    <col min="11" max="17" width="7" customWidth="1"/>
  </cols>
  <sheetData>
    <row r="1" spans="1:16" x14ac:dyDescent="0.2">
      <c r="A1" s="32" t="s">
        <v>56</v>
      </c>
      <c r="B1" s="33"/>
      <c r="C1" s="33"/>
      <c r="D1" s="33"/>
      <c r="E1" s="33"/>
      <c r="F1" s="33"/>
      <c r="G1" s="33"/>
      <c r="H1" s="33"/>
      <c r="I1" s="33"/>
      <c r="J1" s="33"/>
    </row>
    <row r="2" spans="1:16" x14ac:dyDescent="0.2">
      <c r="B2" s="41" t="s">
        <v>57</v>
      </c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6"/>
    </row>
    <row r="4" spans="1:16" x14ac:dyDescent="0.2">
      <c r="B4" s="4" t="s">
        <v>58</v>
      </c>
      <c r="J4" s="2" t="s">
        <v>59</v>
      </c>
    </row>
    <row r="5" spans="1:16" x14ac:dyDescent="0.2">
      <c r="B5" s="8">
        <v>-5.0199999999999996</v>
      </c>
      <c r="C5" s="13">
        <v>5.08</v>
      </c>
      <c r="D5" s="13">
        <v>3.94</v>
      </c>
      <c r="E5" s="13">
        <v>2.8</v>
      </c>
      <c r="F5" s="13">
        <v>0.47</v>
      </c>
      <c r="G5" s="8">
        <v>-4.7300000000000004</v>
      </c>
      <c r="J5" s="2" t="s">
        <v>60</v>
      </c>
    </row>
    <row r="6" spans="1:16" x14ac:dyDescent="0.2">
      <c r="B6" s="8">
        <v>-4</v>
      </c>
      <c r="C6" s="13">
        <v>8.16</v>
      </c>
      <c r="D6" s="13">
        <v>8.08</v>
      </c>
      <c r="E6" s="13">
        <v>7.65</v>
      </c>
      <c r="F6" s="13">
        <v>5.68</v>
      </c>
      <c r="G6" s="8">
        <v>-2.74</v>
      </c>
    </row>
    <row r="7" spans="1:16" x14ac:dyDescent="0.2">
      <c r="B7" s="8">
        <v>-2.46</v>
      </c>
      <c r="C7" s="13">
        <v>7.74</v>
      </c>
      <c r="D7" s="13">
        <v>7.57</v>
      </c>
      <c r="E7" s="13">
        <v>7.05</v>
      </c>
      <c r="F7" s="13">
        <v>5.17</v>
      </c>
      <c r="G7" s="8">
        <v>-2.99</v>
      </c>
    </row>
    <row r="8" spans="1:16" x14ac:dyDescent="0.2">
      <c r="B8" s="8">
        <v>-0.91</v>
      </c>
      <c r="C8" s="13">
        <v>7.57</v>
      </c>
      <c r="D8" s="13">
        <v>6.88</v>
      </c>
      <c r="E8" s="13">
        <v>6.2</v>
      </c>
      <c r="F8" s="13">
        <v>4.83</v>
      </c>
      <c r="G8" s="8">
        <v>-3.16</v>
      </c>
    </row>
    <row r="9" spans="1:16" x14ac:dyDescent="0.2">
      <c r="B9" s="13">
        <v>0.63</v>
      </c>
      <c r="C9" s="13">
        <v>7.57</v>
      </c>
      <c r="D9" s="13">
        <v>6.2</v>
      </c>
      <c r="E9" s="13">
        <v>5.17</v>
      </c>
      <c r="F9" s="13">
        <v>4.4800000000000004</v>
      </c>
      <c r="G9" s="8">
        <v>-3.33</v>
      </c>
    </row>
    <row r="10" spans="1:16" x14ac:dyDescent="0.2">
      <c r="B10" s="8">
        <v>-2.12</v>
      </c>
      <c r="C10" s="13">
        <v>2.63</v>
      </c>
      <c r="D10" s="13">
        <v>3.1</v>
      </c>
      <c r="E10" s="13">
        <v>3.99</v>
      </c>
      <c r="F10" s="13">
        <v>5.66</v>
      </c>
      <c r="G10" s="13">
        <v>1.55</v>
      </c>
    </row>
    <row r="13" spans="1:16" x14ac:dyDescent="0.2">
      <c r="D13" s="1" t="s">
        <v>61</v>
      </c>
    </row>
    <row r="15" spans="1:16" x14ac:dyDescent="0.2">
      <c r="B15" s="14" t="s">
        <v>62</v>
      </c>
    </row>
    <row r="16" spans="1:16" x14ac:dyDescent="0.2">
      <c r="B16" s="15">
        <v>0</v>
      </c>
      <c r="C16" s="16">
        <v>5.08</v>
      </c>
      <c r="D16" s="16">
        <v>3.94</v>
      </c>
      <c r="E16" s="16">
        <v>2.8</v>
      </c>
      <c r="F16" s="16">
        <v>0.47</v>
      </c>
      <c r="G16" s="15">
        <v>0</v>
      </c>
    </row>
    <row r="17" spans="2:7" x14ac:dyDescent="0.2">
      <c r="B17" s="15">
        <v>0</v>
      </c>
      <c r="C17" s="16">
        <v>8.16</v>
      </c>
      <c r="D17" s="16">
        <v>8.08</v>
      </c>
      <c r="E17" s="16">
        <v>7.65</v>
      </c>
      <c r="F17" s="16">
        <v>5.68</v>
      </c>
      <c r="G17" s="15">
        <v>0</v>
      </c>
    </row>
    <row r="18" spans="2:7" x14ac:dyDescent="0.2">
      <c r="B18" s="15">
        <v>0</v>
      </c>
      <c r="C18" s="16">
        <v>7.74</v>
      </c>
      <c r="D18" s="16">
        <v>7.57</v>
      </c>
      <c r="E18" s="16">
        <v>7.05</v>
      </c>
      <c r="F18" s="16">
        <v>5.17</v>
      </c>
      <c r="G18" s="15">
        <v>0</v>
      </c>
    </row>
    <row r="19" spans="2:7" x14ac:dyDescent="0.2">
      <c r="B19" s="15">
        <v>0</v>
      </c>
      <c r="C19" s="16">
        <v>7.57</v>
      </c>
      <c r="D19" s="16">
        <v>6.88</v>
      </c>
      <c r="E19" s="16">
        <v>6.2</v>
      </c>
      <c r="F19" s="16">
        <v>4.83</v>
      </c>
      <c r="G19" s="15">
        <v>0</v>
      </c>
    </row>
    <row r="20" spans="2:7" x14ac:dyDescent="0.2">
      <c r="B20" s="16">
        <v>0.63</v>
      </c>
      <c r="C20" s="16">
        <v>7.57</v>
      </c>
      <c r="D20" s="16">
        <v>6.2</v>
      </c>
      <c r="E20" s="16">
        <v>5.17</v>
      </c>
      <c r="F20" s="16">
        <v>4.4800000000000004</v>
      </c>
      <c r="G20" s="15">
        <v>0</v>
      </c>
    </row>
    <row r="21" spans="2:7" x14ac:dyDescent="0.2">
      <c r="B21" s="15">
        <v>0</v>
      </c>
      <c r="C21" s="16">
        <v>2.63</v>
      </c>
      <c r="D21" s="16">
        <v>3.1</v>
      </c>
      <c r="E21" s="16">
        <v>3.99</v>
      </c>
      <c r="F21" s="16">
        <v>5.66</v>
      </c>
      <c r="G21" s="16">
        <v>1.55</v>
      </c>
    </row>
  </sheetData>
  <mergeCells count="2">
    <mergeCell ref="A1:J1"/>
    <mergeCell ref="B2:P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P18"/>
  <sheetViews>
    <sheetView workbookViewId="0">
      <selection activeCell="H16" sqref="H16"/>
    </sheetView>
  </sheetViews>
  <sheetFormatPr baseColWidth="10" defaultColWidth="8.83203125" defaultRowHeight="15" x14ac:dyDescent="0.2"/>
  <cols>
    <col min="1" max="1" width="7" customWidth="1"/>
    <col min="2" max="2" width="18.1640625" customWidth="1"/>
    <col min="3" max="9" width="7" customWidth="1"/>
    <col min="10" max="10" width="17.83203125" customWidth="1"/>
    <col min="11" max="17" width="7" customWidth="1"/>
  </cols>
  <sheetData>
    <row r="1" spans="1:16" x14ac:dyDescent="0.2">
      <c r="A1" s="32" t="s">
        <v>63</v>
      </c>
      <c r="B1" s="33"/>
      <c r="C1" s="33"/>
      <c r="D1" s="33"/>
      <c r="E1" s="33"/>
      <c r="F1" s="33"/>
      <c r="G1" s="33"/>
      <c r="H1" s="33"/>
      <c r="I1" s="33"/>
      <c r="J1" s="33"/>
    </row>
    <row r="2" spans="1:16" x14ac:dyDescent="0.2">
      <c r="B2" s="41" t="s">
        <v>64</v>
      </c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6"/>
    </row>
    <row r="4" spans="1:16" x14ac:dyDescent="0.2">
      <c r="B4" s="14" t="s">
        <v>65</v>
      </c>
      <c r="J4" s="2" t="s">
        <v>66</v>
      </c>
    </row>
    <row r="5" spans="1:16" x14ac:dyDescent="0.2">
      <c r="B5" s="16">
        <v>0</v>
      </c>
      <c r="C5" s="16">
        <v>5.08</v>
      </c>
      <c r="D5" s="17">
        <v>3.94</v>
      </c>
      <c r="E5" s="17">
        <v>2.8</v>
      </c>
      <c r="F5" s="18">
        <v>0.47</v>
      </c>
      <c r="G5" s="18">
        <v>0</v>
      </c>
    </row>
    <row r="6" spans="1:16" x14ac:dyDescent="0.2">
      <c r="B6" s="16">
        <v>0</v>
      </c>
      <c r="C6" s="16">
        <v>8.16</v>
      </c>
      <c r="D6" s="17">
        <v>8.08</v>
      </c>
      <c r="E6" s="17">
        <v>7.65</v>
      </c>
      <c r="F6" s="18">
        <v>5.68</v>
      </c>
      <c r="G6" s="18">
        <v>0</v>
      </c>
    </row>
    <row r="7" spans="1:16" x14ac:dyDescent="0.2">
      <c r="B7" s="19">
        <v>0</v>
      </c>
      <c r="C7" s="19">
        <v>7.74</v>
      </c>
      <c r="D7" s="20">
        <v>7.57</v>
      </c>
      <c r="E7" s="20">
        <v>7.05</v>
      </c>
      <c r="F7" s="21">
        <v>5.17</v>
      </c>
      <c r="G7" s="21">
        <v>0</v>
      </c>
    </row>
    <row r="8" spans="1:16" x14ac:dyDescent="0.2">
      <c r="B8" s="19">
        <v>0</v>
      </c>
      <c r="C8" s="19">
        <v>7.57</v>
      </c>
      <c r="D8" s="20">
        <v>6.88</v>
      </c>
      <c r="E8" s="20">
        <v>6.2</v>
      </c>
      <c r="F8" s="21">
        <v>4.83</v>
      </c>
      <c r="G8" s="21">
        <v>0</v>
      </c>
    </row>
    <row r="9" spans="1:16" x14ac:dyDescent="0.2">
      <c r="B9" s="22">
        <v>0.63</v>
      </c>
      <c r="C9" s="22">
        <v>7.57</v>
      </c>
      <c r="D9" s="23">
        <v>6.2</v>
      </c>
      <c r="E9" s="23">
        <v>5.17</v>
      </c>
      <c r="F9" s="24">
        <v>4.4800000000000004</v>
      </c>
      <c r="G9" s="24">
        <v>0</v>
      </c>
    </row>
    <row r="10" spans="1:16" x14ac:dyDescent="0.2">
      <c r="B10" s="22">
        <v>0</v>
      </c>
      <c r="C10" s="22">
        <v>2.63</v>
      </c>
      <c r="D10" s="23">
        <v>3.1</v>
      </c>
      <c r="E10" s="23">
        <v>3.99</v>
      </c>
      <c r="F10" s="24">
        <v>5.66</v>
      </c>
      <c r="G10" s="24">
        <v>1.55</v>
      </c>
    </row>
    <row r="13" spans="1:16" x14ac:dyDescent="0.2">
      <c r="D13" s="1" t="s">
        <v>61</v>
      </c>
    </row>
    <row r="15" spans="1:16" x14ac:dyDescent="0.2">
      <c r="B15" s="11" t="s">
        <v>67</v>
      </c>
    </row>
    <row r="16" spans="1:16" x14ac:dyDescent="0.2">
      <c r="B16" s="16">
        <v>8.16</v>
      </c>
      <c r="C16" s="17">
        <v>8.08</v>
      </c>
      <c r="D16" s="18">
        <v>5.68</v>
      </c>
    </row>
    <row r="17" spans="2:4" x14ac:dyDescent="0.2">
      <c r="B17" s="19">
        <v>7.74</v>
      </c>
      <c r="C17" s="20">
        <v>7.57</v>
      </c>
      <c r="D17" s="21">
        <v>5.17</v>
      </c>
    </row>
    <row r="18" spans="2:4" x14ac:dyDescent="0.2">
      <c r="B18" s="22">
        <v>7.57</v>
      </c>
      <c r="C18" s="23">
        <v>6.2</v>
      </c>
      <c r="D18" s="24">
        <v>5.66</v>
      </c>
    </row>
  </sheetData>
  <mergeCells count="2">
    <mergeCell ref="A1:J1"/>
    <mergeCell ref="B2:P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R11"/>
  <sheetViews>
    <sheetView workbookViewId="0">
      <selection activeCell="H33" sqref="H33"/>
    </sheetView>
  </sheetViews>
  <sheetFormatPr baseColWidth="10" defaultColWidth="8.83203125" defaultRowHeight="15" x14ac:dyDescent="0.2"/>
  <cols>
    <col min="1" max="1" width="7" customWidth="1"/>
    <col min="2" max="2" width="22.33203125" customWidth="1"/>
    <col min="3" max="6" width="7" customWidth="1"/>
    <col min="7" max="7" width="13.5" customWidth="1"/>
    <col min="8" max="9" width="7" customWidth="1"/>
    <col min="10" max="10" width="11.5" customWidth="1"/>
    <col min="11" max="17" width="7" customWidth="1"/>
  </cols>
  <sheetData>
    <row r="1" spans="1:18" x14ac:dyDescent="0.2">
      <c r="A1" s="32" t="s">
        <v>68</v>
      </c>
      <c r="B1" s="33"/>
      <c r="C1" s="33"/>
      <c r="D1" s="33"/>
      <c r="E1" s="33"/>
      <c r="F1" s="33"/>
      <c r="G1" s="33"/>
      <c r="H1" s="33"/>
      <c r="I1" s="33"/>
      <c r="J1" s="33"/>
    </row>
    <row r="2" spans="1:18" x14ac:dyDescent="0.2">
      <c r="B2" s="39" t="s">
        <v>69</v>
      </c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6"/>
    </row>
    <row r="4" spans="1:18" x14ac:dyDescent="0.2">
      <c r="B4" s="14" t="s">
        <v>70</v>
      </c>
      <c r="G4" s="2" t="s">
        <v>71</v>
      </c>
      <c r="J4" s="11" t="s">
        <v>72</v>
      </c>
    </row>
    <row r="5" spans="1:18" x14ac:dyDescent="0.2">
      <c r="B5" s="16">
        <v>8.16</v>
      </c>
      <c r="C5" s="16">
        <v>8.08</v>
      </c>
      <c r="D5" s="16">
        <v>5.68</v>
      </c>
      <c r="J5" s="15">
        <v>8.16</v>
      </c>
      <c r="K5" s="15">
        <v>8.08</v>
      </c>
      <c r="L5" s="15">
        <v>5.68</v>
      </c>
      <c r="M5" s="15">
        <v>7.74</v>
      </c>
      <c r="N5" s="15">
        <v>7.57</v>
      </c>
    </row>
    <row r="6" spans="1:18" x14ac:dyDescent="0.2">
      <c r="B6" s="16">
        <v>7.74</v>
      </c>
      <c r="C6" s="16">
        <v>7.57</v>
      </c>
      <c r="D6" s="16">
        <v>5.17</v>
      </c>
      <c r="J6" s="15">
        <v>5.17</v>
      </c>
      <c r="K6" s="15">
        <v>7.57</v>
      </c>
      <c r="L6" s="15">
        <v>6.2</v>
      </c>
      <c r="M6" s="15">
        <v>5.66</v>
      </c>
    </row>
    <row r="7" spans="1:18" x14ac:dyDescent="0.2">
      <c r="B7" s="16">
        <v>7.57</v>
      </c>
      <c r="C7" s="16">
        <v>6.2</v>
      </c>
      <c r="D7" s="16">
        <v>5.66</v>
      </c>
    </row>
    <row r="9" spans="1:18" x14ac:dyDescent="0.2">
      <c r="B9" s="11" t="s">
        <v>73</v>
      </c>
    </row>
    <row r="10" spans="1:18" x14ac:dyDescent="0.2">
      <c r="B10" s="11" t="s">
        <v>74</v>
      </c>
    </row>
    <row r="11" spans="1:18" x14ac:dyDescent="0.2">
      <c r="B11" s="11" t="s">
        <v>75</v>
      </c>
    </row>
  </sheetData>
  <mergeCells count="2">
    <mergeCell ref="B2:R2"/>
    <mergeCell ref="A1:J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N87"/>
  <sheetViews>
    <sheetView tabSelected="1" workbookViewId="0">
      <selection activeCell="I99" sqref="I99"/>
    </sheetView>
  </sheetViews>
  <sheetFormatPr baseColWidth="10" defaultColWidth="8.83203125" defaultRowHeight="15" x14ac:dyDescent="0.2"/>
  <cols>
    <col min="1" max="1" width="12" customWidth="1"/>
    <col min="2" max="2" width="33.33203125" customWidth="1"/>
    <col min="3" max="19" width="12" customWidth="1"/>
  </cols>
  <sheetData>
    <row r="1" spans="1:10" x14ac:dyDescent="0.2">
      <c r="A1" s="32" t="s">
        <v>76</v>
      </c>
      <c r="B1" s="33"/>
      <c r="C1" s="33"/>
      <c r="D1" s="33"/>
      <c r="E1" s="33"/>
      <c r="F1" s="33"/>
      <c r="G1" s="33"/>
      <c r="H1" s="33"/>
      <c r="I1" s="33"/>
      <c r="J1" s="33"/>
    </row>
    <row r="2" spans="1:10" ht="19" x14ac:dyDescent="0.25">
      <c r="B2" s="26" t="s">
        <v>77</v>
      </c>
    </row>
    <row r="4" spans="1:10" ht="16" x14ac:dyDescent="0.2">
      <c r="B4" s="27" t="s">
        <v>78</v>
      </c>
    </row>
    <row r="6" spans="1:10" ht="16" x14ac:dyDescent="0.2">
      <c r="B6" s="28" t="s">
        <v>79</v>
      </c>
    </row>
    <row r="8" spans="1:10" x14ac:dyDescent="0.2">
      <c r="B8" t="s">
        <v>80</v>
      </c>
    </row>
    <row r="9" spans="1:10" x14ac:dyDescent="0.2">
      <c r="B9" s="29" t="s">
        <v>81</v>
      </c>
    </row>
    <row r="10" spans="1:10" x14ac:dyDescent="0.2">
      <c r="B10" t="s">
        <v>82</v>
      </c>
    </row>
    <row r="13" spans="1:10" ht="16" x14ac:dyDescent="0.2">
      <c r="B13" s="28" t="s">
        <v>83</v>
      </c>
    </row>
    <row r="15" spans="1:10" ht="16" x14ac:dyDescent="0.2">
      <c r="B15" s="27" t="s">
        <v>84</v>
      </c>
    </row>
    <row r="16" spans="1:10" x14ac:dyDescent="0.2">
      <c r="B16">
        <v>8.16</v>
      </c>
      <c r="C16">
        <v>8.08</v>
      </c>
      <c r="D16">
        <v>5.68</v>
      </c>
      <c r="E16">
        <v>7.74</v>
      </c>
      <c r="F16">
        <v>7.57</v>
      </c>
      <c r="G16">
        <v>5.17</v>
      </c>
      <c r="H16">
        <v>7.57</v>
      </c>
      <c r="I16">
        <v>6.2</v>
      </c>
      <c r="J16">
        <v>5.66</v>
      </c>
    </row>
    <row r="18" spans="2:11" ht="16" x14ac:dyDescent="0.2">
      <c r="B18" s="27" t="s">
        <v>85</v>
      </c>
      <c r="E18" s="27" t="s">
        <v>28</v>
      </c>
      <c r="H18" s="27" t="s">
        <v>86</v>
      </c>
      <c r="K18" s="27" t="s">
        <v>87</v>
      </c>
    </row>
    <row r="19" spans="2:11" x14ac:dyDescent="0.2">
      <c r="B19" t="s">
        <v>88</v>
      </c>
      <c r="E19">
        <v>8.4099999999999994E-2</v>
      </c>
      <c r="H19" s="30">
        <v>-0.11260000000000001</v>
      </c>
      <c r="K19" s="31">
        <v>8.5199999999999998E-2</v>
      </c>
    </row>
    <row r="20" spans="2:11" x14ac:dyDescent="0.2">
      <c r="B20" t="s">
        <v>89</v>
      </c>
      <c r="E20">
        <v>8.4099999999999994E-2</v>
      </c>
      <c r="H20" s="30">
        <v>-0.1115</v>
      </c>
      <c r="K20" s="31">
        <v>8.5199999999999998E-2</v>
      </c>
    </row>
    <row r="21" spans="2:11" x14ac:dyDescent="0.2">
      <c r="B21" t="s">
        <v>90</v>
      </c>
      <c r="E21">
        <v>8.4099999999999994E-2</v>
      </c>
      <c r="H21" s="30">
        <v>-7.8399999999999997E-2</v>
      </c>
      <c r="K21" s="31">
        <v>8.4900000000000003E-2</v>
      </c>
    </row>
    <row r="22" spans="2:11" x14ac:dyDescent="0.2">
      <c r="B22" t="s">
        <v>91</v>
      </c>
      <c r="E22">
        <v>8.4099999999999994E-2</v>
      </c>
      <c r="H22" s="30">
        <v>-0.10680000000000001</v>
      </c>
      <c r="K22" s="31">
        <v>8.5199999999999998E-2</v>
      </c>
    </row>
    <row r="23" spans="2:11" x14ac:dyDescent="0.2">
      <c r="B23" t="s">
        <v>92</v>
      </c>
      <c r="E23">
        <v>8.4099999999999994E-2</v>
      </c>
      <c r="H23" s="30">
        <v>-0.1045</v>
      </c>
      <c r="K23" s="31">
        <v>8.5099999999999995E-2</v>
      </c>
    </row>
    <row r="24" spans="2:11" x14ac:dyDescent="0.2">
      <c r="B24" t="s">
        <v>93</v>
      </c>
      <c r="E24">
        <v>4.2099999999999999E-2</v>
      </c>
      <c r="H24" s="30">
        <v>-7.1300000000000002E-2</v>
      </c>
      <c r="K24" s="31">
        <v>4.2799999999999998E-2</v>
      </c>
    </row>
    <row r="25" spans="2:11" x14ac:dyDescent="0.2">
      <c r="B25" t="s">
        <v>94</v>
      </c>
      <c r="E25">
        <v>4.2099999999999999E-2</v>
      </c>
      <c r="H25" s="30">
        <v>-0.1045</v>
      </c>
      <c r="K25" s="31">
        <v>4.3099999999999999E-2</v>
      </c>
    </row>
    <row r="26" spans="2:11" x14ac:dyDescent="0.2">
      <c r="B26" t="s">
        <v>95</v>
      </c>
      <c r="E26">
        <v>4.2099999999999999E-2</v>
      </c>
      <c r="H26" s="30">
        <v>-8.5599999999999996E-2</v>
      </c>
      <c r="K26" s="31">
        <v>4.2900000000000001E-2</v>
      </c>
    </row>
    <row r="27" spans="2:11" x14ac:dyDescent="0.2">
      <c r="B27" t="s">
        <v>96</v>
      </c>
      <c r="E27">
        <v>4.2099999999999999E-2</v>
      </c>
      <c r="H27" s="30">
        <v>-7.8100000000000003E-2</v>
      </c>
      <c r="K27" s="31">
        <v>4.2799999999999998E-2</v>
      </c>
    </row>
    <row r="29" spans="2:11" x14ac:dyDescent="0.2">
      <c r="B29" t="s">
        <v>97</v>
      </c>
      <c r="E29">
        <v>0.1</v>
      </c>
      <c r="H29" s="30">
        <v>-1.38E-2</v>
      </c>
      <c r="K29" s="31">
        <v>0.10009999999999999</v>
      </c>
    </row>
    <row r="32" spans="2:11" ht="16" x14ac:dyDescent="0.2">
      <c r="B32" s="28" t="s">
        <v>98</v>
      </c>
    </row>
    <row r="34" spans="2:7" x14ac:dyDescent="0.2">
      <c r="B34" t="s">
        <v>99</v>
      </c>
    </row>
    <row r="35" spans="2:7" x14ac:dyDescent="0.2">
      <c r="B35" s="30">
        <v>-1.1609999999999999E-3</v>
      </c>
      <c r="C35" s="30">
        <v>-1.1609999999999999E-3</v>
      </c>
      <c r="D35" s="30">
        <v>-1.1609999999999999E-3</v>
      </c>
    </row>
    <row r="36" spans="2:7" x14ac:dyDescent="0.2">
      <c r="B36" s="30">
        <v>-1.1609999999999999E-3</v>
      </c>
      <c r="C36" s="30">
        <v>-1.1609999999999999E-3</v>
      </c>
      <c r="D36" s="30">
        <v>-5.8E-4</v>
      </c>
    </row>
    <row r="37" spans="2:7" x14ac:dyDescent="0.2">
      <c r="B37" s="30">
        <v>-5.8E-4</v>
      </c>
      <c r="C37" s="30">
        <v>-5.8E-4</v>
      </c>
      <c r="D37" s="30">
        <v>-5.8E-4</v>
      </c>
    </row>
    <row r="40" spans="2:7" ht="16" x14ac:dyDescent="0.2">
      <c r="B40" s="28" t="s">
        <v>100</v>
      </c>
    </row>
    <row r="42" spans="2:7" x14ac:dyDescent="0.2">
      <c r="B42" t="s">
        <v>101</v>
      </c>
    </row>
    <row r="44" spans="2:7" ht="16" x14ac:dyDescent="0.2">
      <c r="B44" s="27" t="s">
        <v>102</v>
      </c>
    </row>
    <row r="45" spans="2:7" x14ac:dyDescent="0.2"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</row>
    <row r="46" spans="2:7" x14ac:dyDescent="0.2">
      <c r="B46">
        <v>0</v>
      </c>
      <c r="C46" s="30">
        <v>-1.1609999999999999E-3</v>
      </c>
      <c r="D46" s="30">
        <v>-1.1609999999999999E-3</v>
      </c>
      <c r="E46">
        <v>0</v>
      </c>
      <c r="F46" s="30">
        <v>-1.1609999999999999E-3</v>
      </c>
      <c r="G46">
        <v>0</v>
      </c>
    </row>
    <row r="47" spans="2:7" x14ac:dyDescent="0.2">
      <c r="B47">
        <v>0</v>
      </c>
      <c r="C47" s="30">
        <v>-1.1609999999999999E-3</v>
      </c>
      <c r="D47" s="30">
        <v>-1.1609999999999999E-3</v>
      </c>
      <c r="E47">
        <v>0</v>
      </c>
      <c r="F47" s="30">
        <v>-5.8E-4</v>
      </c>
      <c r="G47">
        <v>0</v>
      </c>
    </row>
    <row r="48" spans="2:7" x14ac:dyDescent="0.2"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</row>
    <row r="49" spans="2:7" x14ac:dyDescent="0.2">
      <c r="B49">
        <v>0</v>
      </c>
      <c r="C49" s="30">
        <v>-5.8E-4</v>
      </c>
      <c r="D49" s="30">
        <v>-5.8E-4</v>
      </c>
      <c r="E49">
        <v>0</v>
      </c>
      <c r="F49">
        <v>0</v>
      </c>
      <c r="G49">
        <v>0</v>
      </c>
    </row>
    <row r="50" spans="2:7" x14ac:dyDescent="0.2">
      <c r="B50">
        <v>0</v>
      </c>
      <c r="C50">
        <v>0</v>
      </c>
      <c r="D50">
        <v>0</v>
      </c>
      <c r="E50">
        <v>0</v>
      </c>
      <c r="F50" s="30">
        <v>-5.8E-4</v>
      </c>
      <c r="G50">
        <v>0</v>
      </c>
    </row>
    <row r="53" spans="2:7" ht="16" x14ac:dyDescent="0.2">
      <c r="B53" s="28" t="s">
        <v>103</v>
      </c>
    </row>
    <row r="55" spans="2:7" x14ac:dyDescent="0.2">
      <c r="B55" s="29" t="s">
        <v>104</v>
      </c>
    </row>
    <row r="57" spans="2:7" ht="16" x14ac:dyDescent="0.2">
      <c r="B57" s="27" t="s">
        <v>105</v>
      </c>
    </row>
    <row r="58" spans="2:7" x14ac:dyDescent="0.2"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</row>
    <row r="59" spans="2:7" x14ac:dyDescent="0.2">
      <c r="B59">
        <v>0</v>
      </c>
      <c r="C59" s="30">
        <v>-1.1609999999999999E-3</v>
      </c>
      <c r="D59" s="30">
        <v>-1.1609999999999999E-3</v>
      </c>
      <c r="E59">
        <v>0</v>
      </c>
      <c r="F59" s="30">
        <v>-1.1609999999999999E-3</v>
      </c>
      <c r="G59">
        <v>0</v>
      </c>
    </row>
    <row r="60" spans="2:7" x14ac:dyDescent="0.2">
      <c r="B60">
        <v>0</v>
      </c>
      <c r="C60" s="30">
        <v>-1.1609999999999999E-3</v>
      </c>
      <c r="D60" s="30">
        <v>-1.1609999999999999E-3</v>
      </c>
      <c r="E60">
        <v>0</v>
      </c>
      <c r="F60" s="30">
        <v>-5.8E-4</v>
      </c>
      <c r="G60">
        <v>0</v>
      </c>
    </row>
    <row r="61" spans="2:7" x14ac:dyDescent="0.2"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</row>
    <row r="62" spans="2:7" x14ac:dyDescent="0.2">
      <c r="B62">
        <v>0</v>
      </c>
      <c r="C62" s="30">
        <v>-5.8E-4</v>
      </c>
      <c r="D62" s="30">
        <v>-5.8E-4</v>
      </c>
      <c r="E62">
        <v>0</v>
      </c>
      <c r="F62">
        <v>0</v>
      </c>
      <c r="G62">
        <v>0</v>
      </c>
    </row>
    <row r="63" spans="2:7" x14ac:dyDescent="0.2">
      <c r="B63">
        <v>0</v>
      </c>
      <c r="C63">
        <v>0</v>
      </c>
      <c r="D63">
        <v>0</v>
      </c>
      <c r="E63">
        <v>0</v>
      </c>
      <c r="F63" s="30">
        <v>-5.8E-4</v>
      </c>
      <c r="G63">
        <v>0</v>
      </c>
    </row>
    <row r="66" spans="2:14" ht="16" x14ac:dyDescent="0.2">
      <c r="B66" s="28" t="s">
        <v>106</v>
      </c>
    </row>
    <row r="68" spans="2:14" x14ac:dyDescent="0.2">
      <c r="B68" s="29" t="s">
        <v>107</v>
      </c>
    </row>
    <row r="70" spans="2:14" ht="16" x14ac:dyDescent="0.2">
      <c r="B70" s="27" t="s">
        <v>108</v>
      </c>
      <c r="G70" s="27" t="s">
        <v>109</v>
      </c>
      <c r="L70" s="27" t="s">
        <v>110</v>
      </c>
    </row>
    <row r="71" spans="2:14" x14ac:dyDescent="0.2">
      <c r="B71">
        <v>1</v>
      </c>
      <c r="C71">
        <v>0</v>
      </c>
      <c r="D71">
        <v>-1</v>
      </c>
      <c r="G71" s="30">
        <v>-6.5399999999999998E-3</v>
      </c>
      <c r="H71" s="30">
        <v>6.3999999999999997E-5</v>
      </c>
      <c r="I71" s="30">
        <v>5.7390000000000002E-3</v>
      </c>
      <c r="L71" s="31">
        <v>1.0001</v>
      </c>
      <c r="M71" s="31">
        <v>0</v>
      </c>
      <c r="N71" s="31">
        <v>-1.0001</v>
      </c>
    </row>
    <row r="72" spans="2:14" x14ac:dyDescent="0.2">
      <c r="B72">
        <v>2</v>
      </c>
      <c r="C72">
        <v>0</v>
      </c>
      <c r="D72">
        <v>-2</v>
      </c>
      <c r="G72" s="30">
        <v>-3.8530000000000001E-3</v>
      </c>
      <c r="H72" s="30">
        <v>2.153E-3</v>
      </c>
      <c r="I72" s="30">
        <v>7.4219999999999998E-3</v>
      </c>
      <c r="L72" s="31">
        <v>2</v>
      </c>
      <c r="M72" s="31">
        <v>0</v>
      </c>
      <c r="N72" s="31">
        <v>-2.0001000000000002</v>
      </c>
    </row>
    <row r="73" spans="2:14" x14ac:dyDescent="0.2">
      <c r="B73">
        <v>1</v>
      </c>
      <c r="C73">
        <v>0</v>
      </c>
      <c r="D73">
        <v>-1</v>
      </c>
      <c r="G73" s="30">
        <v>-2.408E-3</v>
      </c>
      <c r="H73" s="30">
        <v>3.0639999999999999E-3</v>
      </c>
      <c r="I73" s="30">
        <v>7.6309999999999998E-3</v>
      </c>
      <c r="L73" s="31">
        <v>1</v>
      </c>
      <c r="M73" s="31">
        <v>0</v>
      </c>
      <c r="N73" s="31">
        <v>-1.0001</v>
      </c>
    </row>
    <row r="75" spans="2:14" ht="16" x14ac:dyDescent="0.2">
      <c r="B75" s="27" t="s">
        <v>111</v>
      </c>
      <c r="G75" s="27" t="s">
        <v>112</v>
      </c>
      <c r="L75" s="27" t="s">
        <v>113</v>
      </c>
    </row>
    <row r="76" spans="2:14" x14ac:dyDescent="0.2">
      <c r="B76">
        <v>1</v>
      </c>
      <c r="C76">
        <v>2</v>
      </c>
      <c r="D76">
        <v>1</v>
      </c>
      <c r="G76" s="30">
        <v>3.77E-4</v>
      </c>
      <c r="H76" s="30">
        <v>-2.4780000000000002E-3</v>
      </c>
      <c r="I76" s="30">
        <v>-5.3210000000000002E-3</v>
      </c>
      <c r="L76" s="31">
        <v>1</v>
      </c>
      <c r="M76" s="31">
        <v>2</v>
      </c>
      <c r="N76" s="31">
        <v>1.0001</v>
      </c>
    </row>
    <row r="77" spans="2:14" x14ac:dyDescent="0.2">
      <c r="B77">
        <v>0</v>
      </c>
      <c r="C77">
        <v>0</v>
      </c>
      <c r="D77">
        <v>0</v>
      </c>
      <c r="G77" s="30">
        <v>1.8220000000000001E-3</v>
      </c>
      <c r="H77" s="30">
        <v>-1.0330000000000001E-3</v>
      </c>
      <c r="I77" s="30">
        <v>-3.8939999999999999E-3</v>
      </c>
      <c r="L77" s="31">
        <v>0</v>
      </c>
      <c r="M77" s="31">
        <v>0</v>
      </c>
      <c r="N77" s="31">
        <v>0</v>
      </c>
    </row>
    <row r="78" spans="2:14" x14ac:dyDescent="0.2">
      <c r="B78">
        <v>-1</v>
      </c>
      <c r="C78">
        <v>-2</v>
      </c>
      <c r="D78">
        <v>-1</v>
      </c>
      <c r="G78" s="30">
        <v>3.0699999999999998E-3</v>
      </c>
      <c r="H78" s="30">
        <v>4.1800000000000002E-4</v>
      </c>
      <c r="I78" s="30">
        <v>-2.2339999999999999E-3</v>
      </c>
      <c r="L78" s="31">
        <v>-1</v>
      </c>
      <c r="M78" s="31">
        <v>-2</v>
      </c>
      <c r="N78" s="31">
        <v>-1</v>
      </c>
    </row>
    <row r="80" spans="2:14" ht="16" x14ac:dyDescent="0.2">
      <c r="B80" s="27" t="s">
        <v>114</v>
      </c>
      <c r="G80" s="27" t="s">
        <v>115</v>
      </c>
      <c r="L80" s="27" t="s">
        <v>116</v>
      </c>
    </row>
    <row r="81" spans="2:14" x14ac:dyDescent="0.2">
      <c r="B81">
        <v>0</v>
      </c>
      <c r="C81">
        <v>-1</v>
      </c>
      <c r="D81">
        <v>0</v>
      </c>
      <c r="G81" s="30">
        <v>1.7639999999999999E-3</v>
      </c>
      <c r="H81" s="30">
        <v>-1.776E-3</v>
      </c>
      <c r="I81" s="30">
        <v>-5.3160000000000004E-3</v>
      </c>
      <c r="L81" s="31">
        <v>0</v>
      </c>
      <c r="M81" s="31">
        <v>-1</v>
      </c>
      <c r="N81" s="31">
        <v>1E-4</v>
      </c>
    </row>
    <row r="82" spans="2:14" x14ac:dyDescent="0.2">
      <c r="B82">
        <v>-1</v>
      </c>
      <c r="C82">
        <v>4</v>
      </c>
      <c r="D82">
        <v>-1</v>
      </c>
      <c r="G82" s="30">
        <v>3.4200000000000002E-4</v>
      </c>
      <c r="H82" s="30">
        <v>-3.192E-3</v>
      </c>
      <c r="I82" s="30">
        <v>-6.7320000000000001E-3</v>
      </c>
      <c r="L82" s="31">
        <v>-1</v>
      </c>
      <c r="M82" s="31">
        <v>4</v>
      </c>
      <c r="N82" s="31">
        <v>-0.99990000000000001</v>
      </c>
    </row>
    <row r="83" spans="2:14" x14ac:dyDescent="0.2">
      <c r="B83">
        <v>0</v>
      </c>
      <c r="C83">
        <v>-1</v>
      </c>
      <c r="D83">
        <v>0</v>
      </c>
      <c r="G83" s="30">
        <v>-2.5000000000000001E-4</v>
      </c>
      <c r="H83" s="30">
        <v>-3.5339999999999998E-3</v>
      </c>
      <c r="I83" s="30">
        <v>-6.8190000000000004E-3</v>
      </c>
      <c r="L83" s="31">
        <v>0</v>
      </c>
      <c r="M83" s="31">
        <v>-1</v>
      </c>
      <c r="N83" s="31">
        <v>1E-4</v>
      </c>
    </row>
    <row r="86" spans="2:14" ht="16" x14ac:dyDescent="0.2">
      <c r="B86" s="27" t="s">
        <v>117</v>
      </c>
    </row>
    <row r="87" spans="2:14" x14ac:dyDescent="0.2">
      <c r="B87" t="s">
        <v>28</v>
      </c>
      <c r="D87">
        <v>0</v>
      </c>
      <c r="F87" t="s">
        <v>86</v>
      </c>
      <c r="H87" s="30">
        <v>-8.1239999999999993E-3</v>
      </c>
      <c r="J87" t="s">
        <v>87</v>
      </c>
      <c r="L87" s="31">
        <v>8.1000000000000004E-5</v>
      </c>
    </row>
  </sheetData>
  <mergeCells count="1">
    <mergeCell ref="A1:J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G25"/>
  <sheetViews>
    <sheetView workbookViewId="0"/>
  </sheetViews>
  <sheetFormatPr baseColWidth="10" defaultColWidth="8.83203125" defaultRowHeight="15" x14ac:dyDescent="0.2"/>
  <cols>
    <col min="1" max="11" width="7" customWidth="1"/>
  </cols>
  <sheetData>
    <row r="1" spans="1:7" x14ac:dyDescent="0.2">
      <c r="A1" s="32" t="s">
        <v>118</v>
      </c>
      <c r="B1" s="33"/>
      <c r="C1" s="33"/>
      <c r="D1" s="33"/>
      <c r="E1" s="33"/>
      <c r="F1" s="33"/>
      <c r="G1" s="33"/>
    </row>
    <row r="2" spans="1:7" x14ac:dyDescent="0.2">
      <c r="B2" s="1"/>
    </row>
    <row r="4" spans="1:7" x14ac:dyDescent="0.2">
      <c r="B4" s="1" t="s">
        <v>119</v>
      </c>
    </row>
    <row r="5" spans="1:7" x14ac:dyDescent="0.2">
      <c r="B5" s="13">
        <v>-5.0199999999999996</v>
      </c>
      <c r="C5" s="13">
        <v>5.08</v>
      </c>
      <c r="D5" s="13">
        <v>3.94</v>
      </c>
      <c r="E5" s="13">
        <v>2.8</v>
      </c>
      <c r="F5" s="13">
        <v>0.47</v>
      </c>
      <c r="G5" s="13">
        <v>-4.7300000000000004</v>
      </c>
    </row>
    <row r="6" spans="1:7" x14ac:dyDescent="0.2">
      <c r="B6" s="13">
        <v>-4</v>
      </c>
      <c r="C6" s="13">
        <v>8.16</v>
      </c>
      <c r="D6" s="13">
        <v>8.08</v>
      </c>
      <c r="E6" s="13">
        <v>7.65</v>
      </c>
      <c r="F6" s="13">
        <v>5.68</v>
      </c>
      <c r="G6" s="13">
        <v>-2.74</v>
      </c>
    </row>
    <row r="7" spans="1:7" x14ac:dyDescent="0.2">
      <c r="B7" s="13">
        <v>-2.46</v>
      </c>
      <c r="C7" s="13">
        <v>7.74</v>
      </c>
      <c r="D7" s="13">
        <v>7.57</v>
      </c>
      <c r="E7" s="13">
        <v>7.05</v>
      </c>
      <c r="F7" s="13">
        <v>5.17</v>
      </c>
      <c r="G7" s="13">
        <v>-2.99</v>
      </c>
    </row>
    <row r="8" spans="1:7" x14ac:dyDescent="0.2">
      <c r="B8" s="13">
        <v>-0.91</v>
      </c>
      <c r="C8" s="13">
        <v>7.57</v>
      </c>
      <c r="D8" s="13">
        <v>6.88</v>
      </c>
      <c r="E8" s="13">
        <v>6.2</v>
      </c>
      <c r="F8" s="13">
        <v>4.83</v>
      </c>
      <c r="G8" s="13">
        <v>-3.16</v>
      </c>
    </row>
    <row r="9" spans="1:7" x14ac:dyDescent="0.2">
      <c r="B9" s="13">
        <v>0.63</v>
      </c>
      <c r="C9" s="13">
        <v>7.57</v>
      </c>
      <c r="D9" s="13">
        <v>6.2</v>
      </c>
      <c r="E9" s="13">
        <v>5.17</v>
      </c>
      <c r="F9" s="13">
        <v>4.4800000000000004</v>
      </c>
      <c r="G9" s="13">
        <v>-3.33</v>
      </c>
    </row>
    <row r="10" spans="1:7" x14ac:dyDescent="0.2">
      <c r="B10" s="13">
        <v>-2.12</v>
      </c>
      <c r="C10" s="13">
        <v>2.63</v>
      </c>
      <c r="D10" s="13">
        <v>3.1</v>
      </c>
      <c r="E10" s="13">
        <v>3.99</v>
      </c>
      <c r="F10" s="13">
        <v>5.66</v>
      </c>
      <c r="G10" s="13">
        <v>1.55</v>
      </c>
    </row>
    <row r="12" spans="1:7" x14ac:dyDescent="0.2">
      <c r="B12" s="1" t="s">
        <v>120</v>
      </c>
    </row>
    <row r="13" spans="1:7" x14ac:dyDescent="0.2">
      <c r="B13" s="16">
        <v>0</v>
      </c>
      <c r="C13" s="16">
        <v>5.08</v>
      </c>
      <c r="D13" s="16">
        <v>3.94</v>
      </c>
      <c r="E13" s="16">
        <v>2.8</v>
      </c>
      <c r="F13" s="16">
        <v>0.47</v>
      </c>
      <c r="G13" s="16">
        <v>0</v>
      </c>
    </row>
    <row r="14" spans="1:7" x14ac:dyDescent="0.2">
      <c r="B14" s="16">
        <v>0</v>
      </c>
      <c r="C14" s="16">
        <v>8.16</v>
      </c>
      <c r="D14" s="16">
        <v>8.08</v>
      </c>
      <c r="E14" s="16">
        <v>7.65</v>
      </c>
      <c r="F14" s="16">
        <v>5.68</v>
      </c>
      <c r="G14" s="16">
        <v>0</v>
      </c>
    </row>
    <row r="15" spans="1:7" x14ac:dyDescent="0.2">
      <c r="B15" s="16">
        <v>0</v>
      </c>
      <c r="C15" s="16">
        <v>7.74</v>
      </c>
      <c r="D15" s="16">
        <v>7.57</v>
      </c>
      <c r="E15" s="16">
        <v>7.05</v>
      </c>
      <c r="F15" s="16">
        <v>5.17</v>
      </c>
      <c r="G15" s="16">
        <v>0</v>
      </c>
    </row>
    <row r="16" spans="1:7" x14ac:dyDescent="0.2">
      <c r="B16" s="16">
        <v>0</v>
      </c>
      <c r="C16" s="16">
        <v>7.57</v>
      </c>
      <c r="D16" s="16">
        <v>6.88</v>
      </c>
      <c r="E16" s="16">
        <v>6.2</v>
      </c>
      <c r="F16" s="16">
        <v>4.83</v>
      </c>
      <c r="G16" s="16">
        <v>0</v>
      </c>
    </row>
    <row r="17" spans="2:7" x14ac:dyDescent="0.2">
      <c r="B17" s="16">
        <v>0.63</v>
      </c>
      <c r="C17" s="16">
        <v>7.57</v>
      </c>
      <c r="D17" s="16">
        <v>6.2</v>
      </c>
      <c r="E17" s="16">
        <v>5.17</v>
      </c>
      <c r="F17" s="16">
        <v>4.4800000000000004</v>
      </c>
      <c r="G17" s="16">
        <v>0</v>
      </c>
    </row>
    <row r="18" spans="2:7" x14ac:dyDescent="0.2">
      <c r="B18" s="16">
        <v>0</v>
      </c>
      <c r="C18" s="16">
        <v>2.63</v>
      </c>
      <c r="D18" s="16">
        <v>3.1</v>
      </c>
      <c r="E18" s="16">
        <v>3.99</v>
      </c>
      <c r="F18" s="16">
        <v>5.66</v>
      </c>
      <c r="G18" s="16">
        <v>1.55</v>
      </c>
    </row>
    <row r="20" spans="2:7" x14ac:dyDescent="0.2">
      <c r="B20" s="1" t="s">
        <v>121</v>
      </c>
    </row>
    <row r="21" spans="2:7" x14ac:dyDescent="0.2">
      <c r="B21" s="15">
        <v>8.16</v>
      </c>
      <c r="C21" s="15">
        <v>8.08</v>
      </c>
      <c r="D21" s="15">
        <v>5.68</v>
      </c>
    </row>
    <row r="22" spans="2:7" x14ac:dyDescent="0.2">
      <c r="B22" s="15">
        <v>7.74</v>
      </c>
      <c r="C22" s="15">
        <v>7.57</v>
      </c>
      <c r="D22" s="15">
        <v>5.17</v>
      </c>
    </row>
    <row r="23" spans="2:7" x14ac:dyDescent="0.2">
      <c r="B23" s="15">
        <v>7.57</v>
      </c>
      <c r="C23" s="15">
        <v>6.2</v>
      </c>
      <c r="D23" s="15">
        <v>5.66</v>
      </c>
    </row>
    <row r="25" spans="2:7" x14ac:dyDescent="0.2">
      <c r="B25" s="2" t="s">
        <v>122</v>
      </c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Overview</vt:lpstr>
      <vt:lpstr>Preprocessing</vt:lpstr>
      <vt:lpstr>Convolution</vt:lpstr>
      <vt:lpstr>ReLU</vt:lpstr>
      <vt:lpstr>MaxPool</vt:lpstr>
      <vt:lpstr>FC_Output</vt:lpstr>
      <vt:lpstr>Backward</vt:lpstr>
      <vt:lpstr>Answer_Key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Jihwan Kim</cp:lastModifiedBy>
  <dcterms:created xsi:type="dcterms:W3CDTF">2026-01-20T04:42:17Z</dcterms:created>
  <dcterms:modified xsi:type="dcterms:W3CDTF">2026-02-10T02:13:23Z</dcterms:modified>
</cp:coreProperties>
</file>