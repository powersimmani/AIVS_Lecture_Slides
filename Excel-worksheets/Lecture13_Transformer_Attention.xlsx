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>
  <workbookPr/>
  <workbookProtection/>
  <bookViews>
    <workbookView activeTab="0"/>
  </bookViews>
  <sheets>
    <sheet xmlns:r="http://schemas.openxmlformats.org/officeDocument/2006/relationships" name="Overview" sheetId="1" state="visible" r:id="rId1"/>
    <sheet xmlns:r="http://schemas.openxmlformats.org/officeDocument/2006/relationships" name="Input_Embedding" sheetId="2" state="visible" r:id="rId2"/>
    <sheet xmlns:r="http://schemas.openxmlformats.org/officeDocument/2006/relationships" name="Self_Attention" sheetId="3" state="visible" r:id="rId3"/>
    <sheet xmlns:r="http://schemas.openxmlformats.org/officeDocument/2006/relationships" name="Multi_Head_Attention" sheetId="4" state="visible" r:id="rId4"/>
    <sheet xmlns:r="http://schemas.openxmlformats.org/officeDocument/2006/relationships" name="FFN_AddNorm" sheetId="5" state="visible" r:id="rId5"/>
    <sheet xmlns:r="http://schemas.openxmlformats.org/officeDocument/2006/relationships" name="Attention_Visualization" sheetId="6" state="visible" r:id="rId6"/>
    <sheet xmlns:r="http://schemas.openxmlformats.org/officeDocument/2006/relationships" name="Answer_Key" sheetId="7" state="visible" r:id="rId7"/>
  </sheets>
  <definedNames/>
  <calcPr calcId="124519" fullCalcOnLoad="1"/>
</workbook>
</file>

<file path=xl/sharedStrings.xml><?xml version="1.0" encoding="utf-8"?>
<sst xmlns="http://schemas.openxmlformats.org/spreadsheetml/2006/main" uniqueCount="180">
  <si>
    <t>Transformer Architecture</t>
  </si>
  <si>
    <t>"Attention Is All You Need" (2017)</t>
  </si>
  <si>
    <t>═══ Transformer Encoder Block ═══</t>
  </si>
  <si>
    <t>Input Embedding</t>
  </si>
  <si>
    <t xml:space="preserve">     +</t>
  </si>
  <si>
    <t>Positional Encoding</t>
  </si>
  <si>
    <t xml:space="preserve">     ↓</t>
  </si>
  <si>
    <t>Multi-Head Self-Attention</t>
  </si>
  <si>
    <t>Add &amp; Norm</t>
  </si>
  <si>
    <t>Feed-Forward Network</t>
  </si>
  <si>
    <t>Output</t>
  </si>
  <si>
    <t>═══ Key Concepts ═══</t>
  </si>
  <si>
    <t>Self-Attention:</t>
  </si>
  <si>
    <t>Each token learns relationships with all other tokens</t>
  </si>
  <si>
    <t>Query (Q):</t>
  </si>
  <si>
    <t>Current token is 'what to look for'</t>
  </si>
  <si>
    <t>Key (K):</t>
  </si>
  <si>
    <t>Index of information 'provided by' other tokens</t>
  </si>
  <si>
    <t>Value (V):</t>
  </si>
  <si>
    <t>Actually transmitted information</t>
  </si>
  <si>
    <t>Multi-Head:</t>
  </si>
  <si>
    <t>Perform attention from multiple perspectives</t>
  </si>
  <si>
    <t>Positional Encoding:</t>
  </si>
  <si>
    <t>Provide position information (order)</t>
  </si>
  <si>
    <t>═══ Self-Attention Formula ═══</t>
  </si>
  <si>
    <t>Attention(Q, K, V) = softmax(Q·K^T / √d_k) · V</t>
  </si>
  <si>
    <t>═══ Configuration ═══</t>
  </si>
  <si>
    <t>Sequence Length: 3</t>
  </si>
  <si>
    <t>d_model: 4</t>
  </si>
  <si>
    <t>d_k (key dim): 2</t>
  </si>
  <si>
    <t>d_v (value dim): 2</t>
  </si>
  <si>
    <t>Number of Heads: 2</t>
  </si>
  <si>
    <t>d_ff: 8</t>
  </si>
  <si>
    <t>Step 1: Input Embedding + Positional Encoding</t>
  </si>
  <si>
    <t>Token Embedding (Lookup Table)</t>
  </si>
  <si>
    <t>Word</t>
  </si>
  <si>
    <t>d0</t>
  </si>
  <si>
    <t>d1</t>
  </si>
  <si>
    <t>d2</t>
  </si>
  <si>
    <t>d3</t>
  </si>
  <si>
    <t>I</t>
  </si>
  <si>
    <t>love</t>
  </si>
  <si>
    <t>you</t>
  </si>
  <si>
    <t>Positional Encoding (Sinusoidal)</t>
  </si>
  <si>
    <t>PE(pos, 2i) = sin(pos / 10000^(2i/d_model))</t>
  </si>
  <si>
    <t>PE(pos, 2i+1) = cos(pos / 10000^(2i/d_model))</t>
  </si>
  <si>
    <t>Position</t>
  </si>
  <si>
    <t>pos=0</t>
  </si>
  <si>
    <t>pos=1</t>
  </si>
  <si>
    <t>pos=2</t>
  </si>
  <si>
    <t>═══ Final Input: Token Embedding + Positional Encoding ═══</t>
  </si>
  <si>
    <t>'I' (pos=0):</t>
  </si>
  <si>
    <t>Token Emb:</t>
  </si>
  <si>
    <t>+ Pos Enc:</t>
  </si>
  <si>
    <t>'= Input:</t>
  </si>
  <si>
    <t>'love' (pos=1):</t>
  </si>
  <si>
    <t>'you' (pos=2):</t>
  </si>
  <si>
    <t>Step 2: Scaled Dot-Product Self-Attention (Head 1)</t>
  </si>
  <si>
    <t>Input X (seq_len × d_model):</t>
  </si>
  <si>
    <t>'I'</t>
  </si>
  <si>
    <t>'love'</t>
  </si>
  <si>
    <t>'you'</t>
  </si>
  <si>
    <t>═══ Projection Weights (Head 1) ═══</t>
  </si>
  <si>
    <t>W_Q (4×2):</t>
  </si>
  <si>
    <t>W_K (4×2):</t>
  </si>
  <si>
    <t>W_V (4×2):</t>
  </si>
  <si>
    <t>═══ Step 1: Compute Q, K, V ═══</t>
  </si>
  <si>
    <t>Q = X @ W_Q:</t>
  </si>
  <si>
    <t>Q['I']</t>
  </si>
  <si>
    <t>Q['love']</t>
  </si>
  <si>
    <t>Q['you']</t>
  </si>
  <si>
    <t>K = X @ W_K:</t>
  </si>
  <si>
    <t>K['I']</t>
  </si>
  <si>
    <t>K['love']</t>
  </si>
  <si>
    <t>K['you']</t>
  </si>
  <si>
    <t>V = X @ W_V:</t>
  </si>
  <si>
    <t>V['I']</t>
  </si>
  <si>
    <t>V['love']</t>
  </si>
  <si>
    <t>V['you']</t>
  </si>
  <si>
    <t>═══ Step 2: Attention Scores (Q @ K^T / √d_k) ═══</t>
  </si>
  <si>
    <t>Scale factor: √d_k = √2 = 1.4142</t>
  </si>
  <si>
    <t>Q @ K^T (raw):</t>
  </si>
  <si>
    <t>K'I'</t>
  </si>
  <si>
    <t>K'love'</t>
  </si>
  <si>
    <t>K'you'</t>
  </si>
  <si>
    <t>Q'I'</t>
  </si>
  <si>
    <t>Q'love'</t>
  </si>
  <si>
    <t>Q'you'</t>
  </si>
  <si>
    <t>Scaled (÷ √d_k):</t>
  </si>
  <si>
    <t>═══ Step 3: Softmax (Attention Weights) ═══</t>
  </si>
  <si>
    <t>Attention Weights:</t>
  </si>
  <si>
    <t>Interpretation: Each row shows how much that token 'attends' to others (sum=1)</t>
  </si>
  <si>
    <t>═══ Step 4: Output (Attention @ V) ═══</t>
  </si>
  <si>
    <t>Head 1 Output:</t>
  </si>
  <si>
    <t>Step 3: Multi-Head Attention</t>
  </si>
  <si>
    <t>Multi-Head Attention = Concat(head_1, ..., head_h) @ W_O</t>
  </si>
  <si>
    <t>═══ Head 1 Output ═══</t>
  </si>
  <si>
    <t>═══ Head 2 Output ═══</t>
  </si>
  <si>
    <t>W_Q2:</t>
  </si>
  <si>
    <t>W_K2:</t>
  </si>
  <si>
    <t>W_V2:</t>
  </si>
  <si>
    <t>Q2:</t>
  </si>
  <si>
    <t>K2:</t>
  </si>
  <si>
    <t>V2:</t>
  </si>
  <si>
    <t>Attention Weights (Head 2):</t>
  </si>
  <si>
    <t>Head 2 Output:</t>
  </si>
  <si>
    <t>═══ Concatenate Heads ═══</t>
  </si>
  <si>
    <t>Concat:</t>
  </si>
  <si>
    <t>Head1</t>
  </si>
  <si>
    <t>Head2</t>
  </si>
  <si>
    <t>═══ Output Projection (Concat @ W_O) ═══</t>
  </si>
  <si>
    <t>W_O (4×4):</t>
  </si>
  <si>
    <t>Multi-Head Attention Output:</t>
  </si>
  <si>
    <t>Step 4: Add &amp; Norm + Feed-Forward Network</t>
  </si>
  <si>
    <t>═══ Add &amp; Norm (After Attention) ═══</t>
  </si>
  <si>
    <t>Residual Connection: Output = Input + Attention_Output</t>
  </si>
  <si>
    <t>Input X:</t>
  </si>
  <si>
    <t>+ Attention Out:</t>
  </si>
  <si>
    <t>═══ Feed-Forward Network ═══</t>
  </si>
  <si>
    <t>FFN(x) = ReLU(x @ W1 + b1) @ W2 + b2</t>
  </si>
  <si>
    <t>W1: (4 × 8), W2: (8 × 4)</t>
  </si>
  <si>
    <t>FFN Output:</t>
  </si>
  <si>
    <t>═══ Final Add &amp; Norm ═══</t>
  </si>
  <si>
    <t>Encoder Output = After_Attention + FFN_Output</t>
  </si>
  <si>
    <t>Encoder Output:</t>
  </si>
  <si>
    <t>Attention Weight Visualization</t>
  </si>
  <si>
    <t>Visualize how much each token 'attends' to other tokens</t>
  </si>
  <si>
    <t>═══ Head 1 Attention Weights ═══</t>
  </si>
  <si>
    <t>Query↓ Key→</t>
  </si>
  <si>
    <t>35.0%</t>
  </si>
  <si>
    <t>34.2%</t>
  </si>
  <si>
    <t>30.8%</t>
  </si>
  <si>
    <t>36.1%</t>
  </si>
  <si>
    <t>34.5%</t>
  </si>
  <si>
    <t>29.5%</t>
  </si>
  <si>
    <t>33.8%</t>
  </si>
  <si>
    <t>35.2%</t>
  </si>
  <si>
    <t>31.0%</t>
  </si>
  <si>
    <t>═══ Head 2 Attention Weights ═══</t>
  </si>
  <si>
    <t>33.4%</t>
  </si>
  <si>
    <t>32.8%</t>
  </si>
  <si>
    <t>31.2%</t>
  </si>
  <si>
    <t>33.7%</t>
  </si>
  <si>
    <t>33.3%</t>
  </si>
  <si>
    <t>33.0%</t>
  </si>
  <si>
    <t>═══ Interpretation ═══</t>
  </si>
  <si>
    <t>• High value = More attention to that token</t>
  </si>
  <si>
    <t>• Sum of each row = 100% (softmax)</t>
  </si>
  <si>
    <t>• Different patterns per head = Learn diverse relationships</t>
  </si>
  <si>
    <t>• Example: 'love' has high attention to 'I' = subject-verb relationship</t>
  </si>
  <si>
    <t>Answer Key - All Computed Values</t>
  </si>
  <si>
    <t>Input Embeddings:</t>
  </si>
  <si>
    <t>'I':</t>
  </si>
  <si>
    <t>[0.3, 0.8, 0.4, 1.1]</t>
  </si>
  <si>
    <t>'love':</t>
  </si>
  <si>
    <t>[1.3415, 0.8403, -0.09, 1.4]</t>
  </si>
  <si>
    <t>'you':</t>
  </si>
  <si>
    <t>[0.7093, -0.0161, 0.32, 0.6998]</t>
  </si>
  <si>
    <t>Q1, K1, V1:</t>
  </si>
  <si>
    <t>Q1['I']:</t>
  </si>
  <si>
    <t>[0.21, 0.41]</t>
  </si>
  <si>
    <t>Q1['love']:</t>
  </si>
  <si>
    <t>[0.2973, 0.6842]</t>
  </si>
  <si>
    <t>Q1['you']:</t>
  </si>
  <si>
    <t>[0.3095, 0.1421]</t>
  </si>
  <si>
    <t>Attention Weights (Head 1):</t>
  </si>
  <si>
    <t>[0.3496, 0.3424, 0.308]</t>
  </si>
  <si>
    <t>[0.3605, 0.3447, 0.2948]</t>
  </si>
  <si>
    <t>[0.3385, 0.3518, 0.3097]</t>
  </si>
  <si>
    <t>[0.3341, 0.3381, 0.3278]</t>
  </si>
  <si>
    <t>[0.3375, 0.3502, 0.3123]</t>
  </si>
  <si>
    <t>[0.3371, 0.3325, 0.3304]</t>
  </si>
  <si>
    <t>Multi-Head Output:</t>
  </si>
  <si>
    <t>[0.1454, 0.1074, 0.054, 0.197]</t>
  </si>
  <si>
    <t>[0.1453, 0.1085, 0.0556, 0.1971]</t>
  </si>
  <si>
    <t>[0.1466, 0.1072, 0.0536, 0.1985]</t>
  </si>
  <si>
    <t>Final Encoder Output:</t>
  </si>
  <si>
    <t>[0.4494, 1.0195, 0.6742, 1.6252]</t>
  </si>
  <si>
    <t>[1.5101, 1.0655, 0.1758, 1.9008]</t>
  </si>
  <si>
    <t>[0.8809, 0.1854, 0.5374, 1.1316]</t>
  </si>
</sst>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14">
    <fill>
      <patternFill/>
    </fill>
    <fill>
      <patternFill patternType="gray125"/>
    </fill>
    <fill>
      <patternFill patternType="solid">
        <fgColor rgb="00F2F2F2"/>
        <bgColor rgb="00F2F2F2"/>
      </patternFill>
    </fill>
    <fill>
      <patternFill patternType="solid">
        <fgColor rgb="00B4C6E7"/>
        <bgColor rgb="00B4C6E7"/>
      </patternFill>
    </fill>
    <fill>
      <patternFill patternType="solid">
        <fgColor rgb="00DAEEF3"/>
        <bgColor rgb="00DAEEF3"/>
      </patternFill>
    </fill>
    <fill>
      <patternFill patternType="solid">
        <fgColor rgb="00DDA0DD"/>
        <bgColor rgb="00DDA0DD"/>
      </patternFill>
    </fill>
    <fill>
      <patternFill patternType="solid">
        <fgColor rgb="00FFE4B5"/>
        <bgColor rgb="00FFE4B5"/>
      </patternFill>
    </fill>
    <fill>
      <patternFill patternType="solid">
        <fgColor rgb="00D8E4BC"/>
        <bgColor rgb="00D8E4BC"/>
      </patternFill>
    </fill>
    <fill>
      <patternFill patternType="solid">
        <fgColor rgb="0098FB98"/>
        <bgColor rgb="0098FB98"/>
      </patternFill>
    </fill>
    <fill>
      <patternFill patternType="solid">
        <fgColor rgb="00E4DFEC"/>
        <bgColor rgb="00E4DFEC"/>
      </patternFill>
    </fill>
    <fill>
      <patternFill patternType="solid">
        <fgColor rgb="00FFB3BA"/>
        <bgColor rgb="00FFB3BA"/>
      </patternFill>
    </fill>
    <fill>
      <patternFill patternType="solid">
        <fgColor rgb="00BAFFC9"/>
        <bgColor rgb="00BAFFC9"/>
      </patternFill>
    </fill>
    <fill>
      <patternFill patternType="solid">
        <fgColor rgb="00BAE1FF"/>
        <bgColor rgb="00BAE1FF"/>
      </patternFill>
    </fill>
    <fill>
      <patternFill patternType="solid">
        <fgColor rgb="00FFFACD"/>
        <bgColor rgb="00FFFACD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borderId="0" fillId="0" fontId="0" numFmtId="0"/>
  </cellStyleXfs>
  <cellXfs count="29">
    <xf borderId="0" fillId="0" fontId="0" numFmtId="0" pivotButton="0" quotePrefix="0" xfId="0"/>
    <xf applyAlignment="1" borderId="1" fillId="2" fontId="1" numFmtId="0" pivotButton="0" quotePrefix="0" xfId="0">
      <alignment horizontal="center" vertical="center"/>
    </xf>
    <xf borderId="0" fillId="2" fontId="0" numFmtId="0" pivotButton="0" quotePrefix="0" xfId="0"/>
    <xf applyAlignment="1" borderId="1" fillId="3" fontId="1" numFmtId="0" pivotButton="0" quotePrefix="0" xfId="0">
      <alignment horizontal="center" vertical="center"/>
    </xf>
    <xf borderId="4" fillId="0" fontId="0" numFmtId="0" pivotButton="0" quotePrefix="0" xfId="0"/>
    <xf borderId="5" fillId="0" fontId="0" numFmtId="0" pivotButton="0" quotePrefix="0" xfId="0"/>
    <xf applyAlignment="1" borderId="1" fillId="4" fontId="1" numFmtId="0" pivotButton="0" quotePrefix="0" xfId="0">
      <alignment horizontal="center" vertical="center"/>
    </xf>
    <xf applyAlignment="1" borderId="0" fillId="0" fontId="0" numFmtId="0" pivotButton="0" quotePrefix="0" xfId="0">
      <alignment horizontal="center" vertical="center"/>
    </xf>
    <xf applyAlignment="1" borderId="1" fillId="5" fontId="1" numFmtId="0" pivotButton="0" quotePrefix="0" xfId="0">
      <alignment horizontal="center" vertical="center"/>
    </xf>
    <xf applyAlignment="1" borderId="1" fillId="6" fontId="1" numFmtId="0" pivotButton="0" quotePrefix="0" xfId="0">
      <alignment horizontal="center" vertical="center"/>
    </xf>
    <xf applyAlignment="1" borderId="1" fillId="7" fontId="1" numFmtId="0" pivotButton="0" quotePrefix="0" xfId="0">
      <alignment horizontal="center" vertical="center"/>
    </xf>
    <xf applyAlignment="1" borderId="1" fillId="8" fontId="1" numFmtId="0" pivotButton="0" quotePrefix="0" xfId="0">
      <alignment horizontal="center" vertical="center"/>
    </xf>
    <xf applyAlignment="1" borderId="1" fillId="9" fontId="1" numFmtId="0" pivotButton="0" quotePrefix="0" xfId="0">
      <alignment horizontal="center" vertical="center"/>
    </xf>
    <xf applyAlignment="1" borderId="1" fillId="10" fontId="1" numFmtId="0" pivotButton="0" quotePrefix="0" xfId="0">
      <alignment horizontal="center" vertical="center"/>
    </xf>
    <xf applyAlignment="1" borderId="1" fillId="11" fontId="1" numFmtId="0" pivotButton="0" quotePrefix="0" xfId="0">
      <alignment horizontal="center" vertical="center"/>
    </xf>
    <xf applyAlignment="1" borderId="1" fillId="12" fontId="1" numFmtId="0" pivotButton="0" quotePrefix="0" xfId="0">
      <alignment horizontal="center" vertical="center"/>
    </xf>
    <xf applyAlignment="1" borderId="1" fillId="13" fontId="0" numFmtId="0" pivotButton="0" quotePrefix="0" xfId="0">
      <alignment horizontal="center" vertical="center"/>
    </xf>
    <xf applyAlignment="1" borderId="1" fillId="4" fontId="0" numFmtId="0" pivotButton="0" quotePrefix="0" xfId="0">
      <alignment horizontal="center" vertical="center"/>
    </xf>
    <xf applyAlignment="1" borderId="1" fillId="5" fontId="0" numFmtId="0" pivotButton="0" quotePrefix="0" xfId="0">
      <alignment horizontal="center" vertical="center"/>
    </xf>
    <xf applyAlignment="1" borderId="1" fillId="7" fontId="0" numFmtId="0" pivotButton="0" quotePrefix="0" xfId="0">
      <alignment horizontal="center" vertical="center"/>
    </xf>
    <xf applyAlignment="1" borderId="1" fillId="2" fontId="0" numFmtId="0" pivotButton="0" quotePrefix="0" xfId="0">
      <alignment horizontal="center" vertical="center"/>
    </xf>
    <xf applyAlignment="1" borderId="1" fillId="10" fontId="0" numFmtId="0" pivotButton="0" quotePrefix="0" xfId="0">
      <alignment horizontal="center" vertical="center"/>
    </xf>
    <xf applyAlignment="1" borderId="1" fillId="11" fontId="0" numFmtId="0" pivotButton="0" quotePrefix="0" xfId="0">
      <alignment horizontal="center" vertical="center"/>
    </xf>
    <xf applyAlignment="1" borderId="1" fillId="12" fontId="0" numFmtId="0" pivotButton="0" quotePrefix="0" xfId="0">
      <alignment horizontal="center" vertical="center"/>
    </xf>
    <xf borderId="0" fillId="13" fontId="0" numFmtId="0" pivotButton="0" quotePrefix="0" xfId="0"/>
    <xf applyAlignment="1" borderId="1" fillId="6" fontId="0" numFmtId="0" pivotButton="0" quotePrefix="0" xfId="0">
      <alignment horizontal="center" vertical="center"/>
    </xf>
    <xf applyAlignment="1" borderId="1" fillId="9" fontId="0" numFmtId="0" pivotButton="0" quotePrefix="0" xfId="0">
      <alignment horizontal="center" vertical="center"/>
    </xf>
    <xf borderId="0" fillId="8" fontId="0" numFmtId="0" pivotButton="0" quotePrefix="0" xfId="0"/>
    <xf applyAlignment="1" borderId="1" fillId="8" fontId="0" numFmtId="0" pivotButton="0" quotePrefix="0" xfId="0">
      <alignment horizontal="center" vertical="center"/>
    </xf>
  </cellXfs>
  <cellStyles count="1">
    <cellStyle builtinId="0" hidden="0" name="Normal" xfId="0"/>
  </cellStyles>
  <tableStyles count="0" defaultPivotStyle="PivotStyleLight16" defaultTableStyle="TableStyleMedium9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/><Relationship Id="rId2" Target="/xl/worksheets/sheet2.xml" Type="http://schemas.openxmlformats.org/officeDocument/2006/relationships/worksheet"/><Relationship Id="rId3" Target="/xl/worksheets/sheet3.xml" Type="http://schemas.openxmlformats.org/officeDocument/2006/relationships/worksheet"/><Relationship Id="rId4" Target="/xl/worksheets/sheet4.xml" Type="http://schemas.openxmlformats.org/officeDocument/2006/relationships/worksheet"/><Relationship Id="rId5" Target="/xl/worksheets/sheet5.xml" Type="http://schemas.openxmlformats.org/officeDocument/2006/relationships/worksheet"/><Relationship Id="rId6" Target="/xl/worksheets/sheet6.xml" Type="http://schemas.openxmlformats.org/officeDocument/2006/relationships/worksheet"/><Relationship Id="rId7" Target="/xl/worksheets/sheet7.xml" Type="http://schemas.openxmlformats.org/officeDocument/2006/relationships/worksheet"/><Relationship Id="rId8" Target="sharedStrings.xml" Type="http://schemas.openxmlformats.org/officeDocument/2006/relationships/sharedStrings"/><Relationship Id="rId9" Target="styles.xml" Type="http://schemas.openxmlformats.org/officeDocument/2006/relationships/styles"/><Relationship Id="rId10" Target="theme/theme1.xml" Type="http://schemas.openxmlformats.org/officeDocument/2006/relationships/theme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 outlineLevelCol="0"/>
  <cols>
    <col customWidth="1" max="1" min="1" width="12"/>
    <col customWidth="1" max="2" min="2" width="12"/>
    <col customWidth="1" max="3" min="3" width="12"/>
    <col customWidth="1" max="4" min="4" width="12"/>
    <col customWidth="1" max="5" min="5" width="12"/>
    <col customWidth="1" max="6" min="6" width="12"/>
    <col customWidth="1" max="7" min="7" width="7"/>
    <col customWidth="1" max="8" min="8" width="7"/>
    <col customWidth="1" max="9" min="9" width="7"/>
    <col customWidth="1" max="10" min="10" width="7"/>
    <col customWidth="1" max="11" min="11" width="7"/>
    <col customWidth="1" max="12" min="12" width="7"/>
    <col customWidth="1" max="13" min="13" width="7"/>
    <col customWidth="1" max="14" min="14" width="7"/>
    <col customWidth="1" max="15" min="15" width="7"/>
    <col customWidth="1" max="16" min="16" width="7"/>
    <col customWidth="1" max="17" min="17" width="7"/>
    <col customWidth="1" max="18" min="18" width="7"/>
    <col customWidth="1" max="19" min="19" width="7"/>
    <col customWidth="1" max="20" min="20" width="7"/>
    <col customWidth="1" max="21" min="21" width="7"/>
    <col customWidth="1" max="22" min="22" width="7"/>
    <col customWidth="1" max="23" min="23" width="7"/>
    <col customWidth="1" max="24" min="24" width="7"/>
  </cols>
  <sheetData>
    <row r="1" spans="1:6"/>
    <row r="2" spans="1:6">
      <c r="B2" s="1" t="s">
        <v>0</v>
      </c>
    </row>
    <row r="3" spans="1:6"/>
    <row r="4" spans="1:6">
      <c r="B4" s="2" t="s">
        <v>1</v>
      </c>
    </row>
    <row r="5" spans="1:6"/>
    <row r="6" spans="1:6">
      <c r="B6" s="3" t="s">
        <v>2</v>
      </c>
    </row>
    <row r="7" spans="1:6"/>
    <row r="8" spans="1:6">
      <c r="B8" s="6" t="s">
        <v>3</v>
      </c>
    </row>
    <row r="9" spans="1:6">
      <c r="B9" s="7" t="s">
        <v>4</v>
      </c>
    </row>
    <row r="10" spans="1:6">
      <c r="B10" s="8" t="s">
        <v>5</v>
      </c>
    </row>
    <row r="11" spans="1:6">
      <c r="B11" s="7" t="s">
        <v>6</v>
      </c>
    </row>
    <row r="12" spans="1:6">
      <c r="B12" s="9" t="s">
        <v>7</v>
      </c>
    </row>
    <row r="13" spans="1:6">
      <c r="B13" s="7" t="s">
        <v>6</v>
      </c>
    </row>
    <row r="14" spans="1:6">
      <c r="B14" s="10" t="s">
        <v>8</v>
      </c>
    </row>
    <row r="15" spans="1:6">
      <c r="B15" s="7" t="s">
        <v>6</v>
      </c>
    </row>
    <row r="16" spans="1:6">
      <c r="B16" s="11" t="s">
        <v>9</v>
      </c>
    </row>
    <row r="17" spans="1:6">
      <c r="B17" s="7" t="s">
        <v>6</v>
      </c>
    </row>
    <row r="18" spans="1:6">
      <c r="B18" s="10" t="s">
        <v>8</v>
      </c>
    </row>
    <row r="19" spans="1:6">
      <c r="B19" s="7" t="s">
        <v>6</v>
      </c>
    </row>
    <row r="20" spans="1:6">
      <c r="B20" s="12" t="s">
        <v>10</v>
      </c>
    </row>
    <row r="21" spans="1:6"/>
    <row r="22" spans="1:6"/>
    <row r="23" spans="1:6">
      <c r="B23" s="1" t="s">
        <v>11</v>
      </c>
    </row>
    <row r="24" spans="1:6"/>
    <row r="25" spans="1:6">
      <c r="B25" s="9" t="s">
        <v>12</v>
      </c>
      <c r="F25" t="s">
        <v>13</v>
      </c>
    </row>
    <row r="26" spans="1:6">
      <c r="B26" s="13" t="s">
        <v>14</v>
      </c>
      <c r="F26" t="s">
        <v>15</v>
      </c>
    </row>
    <row r="27" spans="1:6">
      <c r="B27" s="14" t="s">
        <v>16</v>
      </c>
      <c r="F27" t="s">
        <v>17</v>
      </c>
    </row>
    <row r="28" spans="1:6">
      <c r="B28" s="15" t="s">
        <v>18</v>
      </c>
      <c r="F28" t="s">
        <v>19</v>
      </c>
    </row>
    <row r="29" spans="1:6">
      <c r="B29" s="9" t="s">
        <v>20</v>
      </c>
      <c r="F29" t="s">
        <v>21</v>
      </c>
    </row>
    <row r="30" spans="1:6">
      <c r="B30" s="8" t="s">
        <v>22</v>
      </c>
      <c r="F30" t="s">
        <v>23</v>
      </c>
    </row>
    <row r="31" spans="1:6"/>
    <row r="32" spans="1:6"/>
    <row r="33" spans="1:6">
      <c r="B33" s="1" t="s">
        <v>24</v>
      </c>
    </row>
    <row r="34" spans="1:6"/>
    <row r="35" spans="1:6">
      <c r="B35" s="9" t="s">
        <v>25</v>
      </c>
    </row>
    <row r="36" spans="1:6"/>
    <row r="37" spans="1:6">
      <c r="B37" s="1" t="s">
        <v>26</v>
      </c>
    </row>
    <row r="38" spans="1:6"/>
    <row r="39" spans="1:6">
      <c r="B39" s="16" t="s">
        <v>27</v>
      </c>
      <c r="F39" s="16" t="s">
        <v>28</v>
      </c>
    </row>
    <row r="40" spans="1:6">
      <c r="B40" s="16" t="s">
        <v>29</v>
      </c>
      <c r="F40" s="16" t="s">
        <v>30</v>
      </c>
    </row>
    <row r="41" spans="1:6">
      <c r="B41" s="16" t="s">
        <v>31</v>
      </c>
      <c r="F41" s="16" t="s">
        <v>32</v>
      </c>
    </row>
  </sheetData>
  <mergeCells count="13">
    <mergeCell ref="B33:P33"/>
    <mergeCell ref="B14:H14"/>
    <mergeCell ref="B6:P6"/>
    <mergeCell ref="B8:H8"/>
    <mergeCell ref="B18:H18"/>
    <mergeCell ref="B35:N35"/>
    <mergeCell ref="B12:H12"/>
    <mergeCell ref="B37:P37"/>
    <mergeCell ref="B23:P23"/>
    <mergeCell ref="B2:AE2"/>
    <mergeCell ref="B16:H16"/>
    <mergeCell ref="B10:H10"/>
    <mergeCell ref="B20:H20"/>
  </mergeCells>
  <pageMargins bottom="1" footer="0.5" header="0.5" left="0.75" right="0.75" top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selection activeCell="A1" sqref="A1"/>
    </sheetView>
  </sheetViews>
  <sheetFormatPr baseColWidth="8" defaultRowHeight="15" outlineLevelCol="0"/>
  <cols>
    <col customWidth="1" max="1" min="1" width="12"/>
    <col customWidth="1" max="2" min="2" width="12"/>
    <col customWidth="1" max="3" min="3" width="12"/>
    <col customWidth="1" max="4" min="4" width="12"/>
    <col customWidth="1" max="5" min="5" width="12"/>
    <col customWidth="1" max="6" min="6" width="12"/>
    <col customWidth="1" max="7" min="7" width="12"/>
    <col customWidth="1" max="8" min="8" width="9"/>
    <col customWidth="1" max="9" min="9" width="9"/>
    <col customWidth="1" max="10" min="10" width="9"/>
    <col customWidth="1" max="11" min="11" width="9"/>
    <col customWidth="1" max="12" min="12" width="9"/>
    <col customWidth="1" max="13" min="13" width="9"/>
    <col customWidth="1" max="14" min="14" width="9"/>
  </cols>
  <sheetData>
    <row r="1" spans="1:7"/>
    <row r="2" spans="1:7">
      <c r="B2" s="6" t="s">
        <v>33</v>
      </c>
    </row>
    <row r="3" spans="1:7"/>
    <row r="4" spans="1:7">
      <c r="B4" s="6" t="s">
        <v>34</v>
      </c>
    </row>
    <row r="5" spans="1:7"/>
    <row r="6" spans="1:7">
      <c r="B6" s="1" t="s">
        <v>35</v>
      </c>
      <c r="C6" s="1" t="s">
        <v>36</v>
      </c>
      <c r="D6" s="1" t="s">
        <v>37</v>
      </c>
      <c r="E6" s="1" t="s">
        <v>38</v>
      </c>
      <c r="F6" s="1" t="s">
        <v>39</v>
      </c>
    </row>
    <row r="7" spans="1:7">
      <c r="B7" s="17" t="s">
        <v>40</v>
      </c>
      <c r="C7" s="17" t="n">
        <v>0.3</v>
      </c>
      <c r="D7" s="17" t="n">
        <v>-0.2</v>
      </c>
      <c r="E7" s="17" t="n">
        <v>0.4</v>
      </c>
      <c r="F7" s="17" t="n">
        <v>0.1</v>
      </c>
    </row>
    <row r="8" spans="1:7">
      <c r="B8" s="17" t="s">
        <v>41</v>
      </c>
      <c r="C8" s="17" t="n">
        <v>0.5</v>
      </c>
      <c r="D8" s="17" t="n">
        <v>0.3</v>
      </c>
      <c r="E8" s="17" t="n">
        <v>-0.1</v>
      </c>
      <c r="F8" s="17" t="n">
        <v>0.4</v>
      </c>
    </row>
    <row r="9" spans="1:7">
      <c r="B9" s="17" t="s">
        <v>42</v>
      </c>
      <c r="C9" s="17" t="n">
        <v>-0.2</v>
      </c>
      <c r="D9" s="17" t="n">
        <v>0.4</v>
      </c>
      <c r="E9" s="17" t="n">
        <v>0.3</v>
      </c>
      <c r="F9" s="17" t="n">
        <v>-0.3</v>
      </c>
    </row>
    <row r="10" spans="1:7"/>
    <row r="11" spans="1:7"/>
    <row r="12" spans="1:7">
      <c r="B12" s="8" t="s">
        <v>43</v>
      </c>
    </row>
    <row r="13" spans="1:7">
      <c r="B13" t="s">
        <v>44</v>
      </c>
    </row>
    <row r="14" spans="1:7">
      <c r="B14" t="s">
        <v>45</v>
      </c>
    </row>
    <row r="15" spans="1:7"/>
    <row r="16" spans="1:7">
      <c r="B16" s="1" t="s">
        <v>46</v>
      </c>
      <c r="C16" s="1" t="s">
        <v>36</v>
      </c>
      <c r="D16" s="1" t="s">
        <v>37</v>
      </c>
      <c r="E16" s="1" t="s">
        <v>38</v>
      </c>
      <c r="F16" s="1" t="s">
        <v>39</v>
      </c>
    </row>
    <row r="17" spans="1:7">
      <c r="B17" s="18" t="s">
        <v>47</v>
      </c>
      <c r="C17" s="18" t="n">
        <v>0</v>
      </c>
      <c r="D17" s="18" t="n">
        <v>1</v>
      </c>
      <c r="E17" s="18" t="n">
        <v>0</v>
      </c>
      <c r="F17" s="18" t="n">
        <v>1</v>
      </c>
    </row>
    <row r="18" spans="1:7">
      <c r="B18" s="18" t="s">
        <v>48</v>
      </c>
      <c r="C18" s="18" t="n">
        <v>0.8415</v>
      </c>
      <c r="D18" s="18" t="n">
        <v>0.5403</v>
      </c>
      <c r="E18" s="18" t="n">
        <v>0.01</v>
      </c>
      <c r="F18" s="18" t="n">
        <v>1</v>
      </c>
    </row>
    <row r="19" spans="1:7">
      <c r="B19" s="18" t="s">
        <v>49</v>
      </c>
      <c r="C19" s="18" t="n">
        <v>0.9093</v>
      </c>
      <c r="D19" s="18" t="n">
        <v>-0.4161</v>
      </c>
      <c r="E19" s="18" t="n">
        <v>0.02</v>
      </c>
      <c r="F19" s="18" t="n">
        <v>0.9998</v>
      </c>
    </row>
    <row r="20" spans="1:7"/>
    <row r="21" spans="1:7"/>
    <row r="22" spans="1:7">
      <c r="B22" s="10" t="s">
        <v>50</v>
      </c>
    </row>
    <row r="23" spans="1:7"/>
    <row r="24" spans="1:7">
      <c r="B24" s="6" t="s">
        <v>51</v>
      </c>
    </row>
    <row r="25" spans="1:7">
      <c r="B25" s="17" t="s">
        <v>52</v>
      </c>
      <c r="D25" s="17" t="n">
        <v>0.3</v>
      </c>
      <c r="E25" s="17" t="n">
        <v>-0.2</v>
      </c>
      <c r="F25" s="17" t="n">
        <v>0.4</v>
      </c>
      <c r="G25" s="17" t="n">
        <v>0.1</v>
      </c>
    </row>
    <row r="26" spans="1:7">
      <c r="B26" s="18" t="s">
        <v>53</v>
      </c>
      <c r="D26" s="18" t="n">
        <v>0</v>
      </c>
      <c r="E26" s="18" t="n">
        <v>1</v>
      </c>
      <c r="F26" s="18" t="n">
        <v>0</v>
      </c>
      <c r="G26" s="18" t="n">
        <v>1</v>
      </c>
    </row>
    <row r="27" spans="1:7">
      <c r="B27" s="10" t="s">
        <v>54</v>
      </c>
      <c r="D27" s="19" t="n">
        <v>0.3</v>
      </c>
      <c r="E27" s="19" t="n">
        <v>0.8</v>
      </c>
      <c r="F27" s="19" t="n">
        <v>0.4</v>
      </c>
      <c r="G27" s="19" t="n">
        <v>1.1</v>
      </c>
    </row>
    <row r="28" spans="1:7"/>
    <row r="29" spans="1:7">
      <c r="B29" s="6" t="s">
        <v>55</v>
      </c>
    </row>
    <row r="30" spans="1:7">
      <c r="B30" s="17" t="s">
        <v>52</v>
      </c>
      <c r="D30" s="17" t="n">
        <v>0.5</v>
      </c>
      <c r="E30" s="17" t="n">
        <v>0.3</v>
      </c>
      <c r="F30" s="17" t="n">
        <v>-0.1</v>
      </c>
      <c r="G30" s="17" t="n">
        <v>0.4</v>
      </c>
    </row>
    <row r="31" spans="1:7">
      <c r="B31" s="18" t="s">
        <v>53</v>
      </c>
      <c r="D31" s="18" t="n">
        <v>0.8415</v>
      </c>
      <c r="E31" s="18" t="n">
        <v>0.5403</v>
      </c>
      <c r="F31" s="18" t="n">
        <v>0.01</v>
      </c>
      <c r="G31" s="18" t="n">
        <v>1</v>
      </c>
    </row>
    <row r="32" spans="1:7">
      <c r="B32" s="10" t="s">
        <v>54</v>
      </c>
      <c r="D32" s="19" t="n">
        <v>1.3415</v>
      </c>
      <c r="E32" s="19" t="n">
        <v>0.8403</v>
      </c>
      <c r="F32" s="19" t="n">
        <v>-0.09</v>
      </c>
      <c r="G32" s="19" t="n">
        <v>1.4</v>
      </c>
    </row>
    <row r="33" spans="1:7"/>
    <row r="34" spans="1:7">
      <c r="B34" s="6" t="s">
        <v>56</v>
      </c>
    </row>
    <row r="35" spans="1:7">
      <c r="B35" s="17" t="s">
        <v>52</v>
      </c>
      <c r="D35" s="17" t="n">
        <v>-0.2</v>
      </c>
      <c r="E35" s="17" t="n">
        <v>0.4</v>
      </c>
      <c r="F35" s="17" t="n">
        <v>0.3</v>
      </c>
      <c r="G35" s="17" t="n">
        <v>-0.3</v>
      </c>
    </row>
    <row r="36" spans="1:7">
      <c r="B36" s="18" t="s">
        <v>53</v>
      </c>
      <c r="D36" s="18" t="n">
        <v>0.9093</v>
      </c>
      <c r="E36" s="18" t="n">
        <v>-0.4161</v>
      </c>
      <c r="F36" s="18" t="n">
        <v>0.02</v>
      </c>
      <c r="G36" s="18" t="n">
        <v>0.9998</v>
      </c>
    </row>
    <row r="37" spans="1:7">
      <c r="B37" s="10" t="s">
        <v>54</v>
      </c>
      <c r="D37" s="19" t="n">
        <v>0.7093</v>
      </c>
      <c r="E37" s="19" t="n">
        <v>-0.0161</v>
      </c>
      <c r="F37" s="19" t="n">
        <v>0.32</v>
      </c>
      <c r="G37" s="19" t="n">
        <v>0.6998</v>
      </c>
    </row>
  </sheetData>
  <mergeCells count="4">
    <mergeCell ref="B12:J12"/>
    <mergeCell ref="B2:T2"/>
    <mergeCell ref="B4:J4"/>
    <mergeCell ref="B22:R22"/>
  </mergeCells>
  <pageMargins bottom="1" footer="0.5" header="0.5" left="0.75" right="0.75" top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70"/>
  <sheetViews>
    <sheetView workbookViewId="0">
      <selection activeCell="A1" sqref="A1"/>
    </sheetView>
  </sheetViews>
  <sheetFormatPr baseColWidth="8" defaultRowHeight="15" outlineLevelCol="0"/>
  <cols>
    <col customWidth="1" max="1" min="1" width="12"/>
    <col customWidth="1" max="2" min="2" width="12"/>
    <col customWidth="1" max="3" min="3" width="12"/>
    <col customWidth="1" max="4" min="4" width="12"/>
    <col customWidth="1" max="5" min="5" width="12"/>
    <col customWidth="1" max="6" min="6" width="12"/>
    <col customWidth="1" max="7" min="7" width="12"/>
    <col customWidth="1" max="8" min="8" width="12"/>
    <col customWidth="1" max="9" min="9" width="12"/>
    <col customWidth="1" max="10" min="10" width="12"/>
    <col customWidth="1" max="11" min="11" width="12"/>
    <col customWidth="1" max="12" min="12" width="12"/>
    <col customWidth="1" max="13" min="13" width="12"/>
    <col customWidth="1" max="14" min="14" width="9"/>
    <col customWidth="1" max="15" min="15" width="9"/>
    <col customWidth="1" max="16" min="16" width="9"/>
    <col customWidth="1" max="17" min="17" width="9"/>
    <col customWidth="1" max="18" min="18" width="9"/>
    <col customWidth="1" max="19" min="19" width="9"/>
    <col customWidth="1" max="20" min="20" width="9"/>
    <col customWidth="1" max="21" min="21" width="9"/>
  </cols>
  <sheetData>
    <row r="1" spans="1:13"/>
    <row r="2" spans="1:13">
      <c r="B2" s="9" t="s">
        <v>57</v>
      </c>
    </row>
    <row r="3" spans="1:13"/>
    <row r="4" spans="1:13">
      <c r="B4" s="6" t="s">
        <v>58</v>
      </c>
    </row>
    <row r="5" spans="1:13">
      <c r="B5" s="20" t="n"/>
      <c r="C5" s="20" t="s">
        <v>36</v>
      </c>
      <c r="D5" s="20" t="s">
        <v>37</v>
      </c>
      <c r="E5" s="20" t="s">
        <v>38</v>
      </c>
      <c r="F5" s="20" t="s">
        <v>39</v>
      </c>
    </row>
    <row r="6" spans="1:13">
      <c r="B6" s="17" t="s">
        <v>59</v>
      </c>
      <c r="C6" s="17" t="n">
        <v>0.3</v>
      </c>
      <c r="D6" s="17" t="n">
        <v>0.8</v>
      </c>
      <c r="E6" s="17" t="n">
        <v>0.4</v>
      </c>
      <c r="F6" s="17" t="n">
        <v>1.1</v>
      </c>
    </row>
    <row r="7" spans="1:13">
      <c r="B7" s="17" t="s">
        <v>60</v>
      </c>
      <c r="C7" s="17" t="n">
        <v>1.3415</v>
      </c>
      <c r="D7" s="17" t="n">
        <v>0.8403</v>
      </c>
      <c r="E7" s="17" t="n">
        <v>-0.09</v>
      </c>
      <c r="F7" s="17" t="n">
        <v>1.4</v>
      </c>
    </row>
    <row r="8" spans="1:13">
      <c r="B8" s="17" t="s">
        <v>61</v>
      </c>
      <c r="C8" s="17" t="n">
        <v>0.7093</v>
      </c>
      <c r="D8" s="17" t="n">
        <v>-0.0161</v>
      </c>
      <c r="E8" s="17" t="n">
        <v>0.32</v>
      </c>
      <c r="F8" s="17" t="n">
        <v>0.6998</v>
      </c>
    </row>
    <row r="9" spans="1:13"/>
    <row r="10" spans="1:13"/>
    <row r="11" spans="1:13">
      <c r="B11" s="1" t="s">
        <v>62</v>
      </c>
    </row>
    <row r="12" spans="1:13"/>
    <row r="13" spans="1:13">
      <c r="B13" s="13" t="s">
        <v>63</v>
      </c>
      <c r="G13" s="14" t="s">
        <v>64</v>
      </c>
      <c r="L13" s="15" t="s">
        <v>65</v>
      </c>
    </row>
    <row r="14" spans="1:13">
      <c r="B14" s="21" t="n">
        <v>0.2</v>
      </c>
      <c r="C14" s="21" t="n">
        <v>0.1</v>
      </c>
      <c r="G14" s="22" t="n">
        <v>0.1</v>
      </c>
      <c r="H14" s="22" t="n">
        <v>-0.2</v>
      </c>
      <c r="L14" s="23" t="n">
        <v>0.2</v>
      </c>
      <c r="M14" s="23" t="n">
        <v>0.3</v>
      </c>
    </row>
    <row r="15" spans="1:13">
      <c r="B15" s="21" t="n">
        <v>-0.1</v>
      </c>
      <c r="C15" s="21" t="n">
        <v>0.3</v>
      </c>
      <c r="G15" s="22" t="n">
        <v>0.3</v>
      </c>
      <c r="H15" s="22" t="n">
        <v>0.1</v>
      </c>
      <c r="L15" s="23" t="n">
        <v>0.1</v>
      </c>
      <c r="M15" s="23" t="n">
        <v>-0.1</v>
      </c>
    </row>
    <row r="16" spans="1:13">
      <c r="B16" s="21" t="n">
        <v>0.3</v>
      </c>
      <c r="C16" s="21" t="n">
        <v>-0.2</v>
      </c>
      <c r="G16" s="22" t="n">
        <v>-0.2</v>
      </c>
      <c r="H16" s="22" t="n">
        <v>0.2</v>
      </c>
      <c r="L16" s="23" t="n">
        <v>-0.1</v>
      </c>
      <c r="M16" s="23" t="n">
        <v>0.2</v>
      </c>
    </row>
    <row r="17" spans="1:13">
      <c r="B17" s="21" t="n">
        <v>0.1</v>
      </c>
      <c r="C17" s="21" t="n">
        <v>0.2</v>
      </c>
      <c r="G17" s="22" t="n">
        <v>0.2</v>
      </c>
      <c r="H17" s="22" t="n">
        <v>0.3</v>
      </c>
      <c r="L17" s="23" t="n">
        <v>0.3</v>
      </c>
      <c r="M17" s="23" t="n">
        <v>0.1</v>
      </c>
    </row>
    <row r="18" spans="1:13"/>
    <row r="19" spans="1:13"/>
    <row r="20" spans="1:13">
      <c r="B20" s="1" t="s">
        <v>66</v>
      </c>
    </row>
    <row r="21" spans="1:13"/>
    <row r="22" spans="1:13">
      <c r="B22" s="13" t="s">
        <v>67</v>
      </c>
    </row>
    <row r="23" spans="1:13">
      <c r="B23" s="21" t="s">
        <v>68</v>
      </c>
      <c r="D23" s="21" t="n">
        <v>0.21</v>
      </c>
      <c r="E23" s="21" t="n">
        <v>0.41</v>
      </c>
      <c r="G23">
        <f> [0.3, 0.8, 0.4, 1.1] @ W_Q</f>
        <v/>
      </c>
    </row>
    <row r="24" spans="1:13">
      <c r="B24" s="21" t="s">
        <v>69</v>
      </c>
      <c r="D24" s="21" t="n">
        <v>0.2973</v>
      </c>
      <c r="E24" s="21" t="n">
        <v>0.6842</v>
      </c>
      <c r="G24">
        <f> [1.34, 0.84, -0.09, 1.4] @ W_Q</f>
        <v/>
      </c>
    </row>
    <row r="25" spans="1:13">
      <c r="B25" s="21" t="s">
        <v>70</v>
      </c>
      <c r="D25" s="21" t="n">
        <v>0.3095</v>
      </c>
      <c r="E25" s="21" t="n">
        <v>0.1421</v>
      </c>
      <c r="G25">
        <f> [0.71, -0.02, 0.32, 0.7] @ W_Q</f>
        <v/>
      </c>
    </row>
    <row r="26" spans="1:13"/>
    <row r="27" spans="1:13">
      <c r="B27" s="14" t="s">
        <v>71</v>
      </c>
    </row>
    <row r="28" spans="1:13">
      <c r="B28" s="22" t="s">
        <v>72</v>
      </c>
      <c r="D28" s="22" t="n">
        <v>0.41</v>
      </c>
      <c r="E28" s="22" t="n">
        <v>0.43</v>
      </c>
    </row>
    <row r="29" spans="1:13">
      <c r="B29" s="22" t="s">
        <v>73</v>
      </c>
      <c r="D29" s="22" t="n">
        <v>0.6842</v>
      </c>
      <c r="E29" s="22" t="n">
        <v>0.2177</v>
      </c>
    </row>
    <row r="30" spans="1:13">
      <c r="B30" s="22" t="s">
        <v>74</v>
      </c>
      <c r="D30" s="22" t="n">
        <v>0.1421</v>
      </c>
      <c r="E30" s="22" t="n">
        <v>0.1305</v>
      </c>
    </row>
    <row r="31" spans="1:13"/>
    <row r="32" spans="1:13">
      <c r="B32" s="15" t="s">
        <v>75</v>
      </c>
    </row>
    <row r="33" spans="1:13">
      <c r="B33" s="23" t="s">
        <v>76</v>
      </c>
      <c r="D33" s="23" t="n">
        <v>0.43</v>
      </c>
      <c r="E33" s="23" t="n">
        <v>0.2</v>
      </c>
    </row>
    <row r="34" spans="1:13">
      <c r="B34" s="23" t="s">
        <v>77</v>
      </c>
      <c r="D34" s="23" t="n">
        <v>0.7813</v>
      </c>
      <c r="E34" s="23" t="n">
        <v>0.4404</v>
      </c>
    </row>
    <row r="35" spans="1:13">
      <c r="B35" s="23" t="s">
        <v>78</v>
      </c>
      <c r="D35" s="23" t="n">
        <v>0.3182</v>
      </c>
      <c r="E35" s="23" t="n">
        <v>0.3484</v>
      </c>
    </row>
    <row r="36" spans="1:13"/>
    <row r="37" spans="1:13"/>
    <row r="38" spans="1:13">
      <c r="B38" s="1" t="s">
        <v>79</v>
      </c>
    </row>
    <row r="39" spans="1:13"/>
    <row r="40" spans="1:13">
      <c r="B40" s="24" t="s">
        <v>80</v>
      </c>
    </row>
    <row r="41" spans="1:13"/>
    <row r="42" spans="1:13">
      <c r="B42" s="9" t="s">
        <v>81</v>
      </c>
    </row>
    <row r="43" spans="1:13">
      <c r="B43" s="20" t="n"/>
      <c r="C43" s="22" t="s">
        <v>82</v>
      </c>
      <c r="D43" s="22" t="s">
        <v>83</v>
      </c>
      <c r="E43" s="22" t="s">
        <v>84</v>
      </c>
    </row>
    <row r="44" spans="1:13">
      <c r="B44" s="21" t="s">
        <v>85</v>
      </c>
      <c r="C44" s="25" t="n">
        <v>0.2624</v>
      </c>
      <c r="D44" s="25" t="n">
        <v>0.233</v>
      </c>
      <c r="E44" s="25" t="n">
        <v>0.0833</v>
      </c>
    </row>
    <row r="45" spans="1:13">
      <c r="B45" s="21" t="s">
        <v>86</v>
      </c>
      <c r="C45" s="25" t="n">
        <v>0.4161</v>
      </c>
      <c r="D45" s="25" t="n">
        <v>0.3524</v>
      </c>
      <c r="E45" s="25" t="n">
        <v>0.1315</v>
      </c>
    </row>
    <row r="46" spans="1:13">
      <c r="B46" s="21" t="s">
        <v>87</v>
      </c>
      <c r="C46" s="25" t="n">
        <v>0.188</v>
      </c>
      <c r="D46" s="25" t="n">
        <v>0.2427</v>
      </c>
      <c r="E46" s="25" t="n">
        <v>0.0625</v>
      </c>
    </row>
    <row r="47" spans="1:13"/>
    <row r="48" spans="1:13">
      <c r="B48" s="9" t="s">
        <v>88</v>
      </c>
    </row>
    <row r="49" spans="1:13">
      <c r="B49" s="20" t="n"/>
      <c r="C49" s="22" t="s">
        <v>82</v>
      </c>
      <c r="D49" s="22" t="s">
        <v>83</v>
      </c>
      <c r="E49" s="22" t="s">
        <v>84</v>
      </c>
    </row>
    <row r="50" spans="1:13">
      <c r="B50" s="21" t="s">
        <v>85</v>
      </c>
      <c r="C50" s="25" t="n">
        <v>0.1855</v>
      </c>
      <c r="D50" s="25" t="n">
        <v>0.1647</v>
      </c>
      <c r="E50" s="25" t="n">
        <v>0.0589</v>
      </c>
    </row>
    <row r="51" spans="1:13">
      <c r="B51" s="21" t="s">
        <v>86</v>
      </c>
      <c r="C51" s="25" t="n">
        <v>0.2942</v>
      </c>
      <c r="D51" s="25" t="n">
        <v>0.2492</v>
      </c>
      <c r="E51" s="25" t="n">
        <v>0.093</v>
      </c>
    </row>
    <row r="52" spans="1:13">
      <c r="B52" s="21" t="s">
        <v>87</v>
      </c>
      <c r="C52" s="25" t="n">
        <v>0.1329</v>
      </c>
      <c r="D52" s="25" t="n">
        <v>0.1716</v>
      </c>
      <c r="E52" s="25" t="n">
        <v>0.0442</v>
      </c>
    </row>
    <row r="53" spans="1:13"/>
    <row r="54" spans="1:13"/>
    <row r="55" spans="1:13">
      <c r="B55" s="1" t="s">
        <v>89</v>
      </c>
    </row>
    <row r="56" spans="1:13"/>
    <row r="57" spans="1:13">
      <c r="B57" s="9" t="s">
        <v>90</v>
      </c>
    </row>
    <row r="58" spans="1:13">
      <c r="B58" s="20" t="n"/>
      <c r="C58" s="20" t="s">
        <v>59</v>
      </c>
      <c r="D58" s="20" t="s">
        <v>60</v>
      </c>
      <c r="E58" s="20" t="s">
        <v>61</v>
      </c>
    </row>
    <row r="59" spans="1:13">
      <c r="B59" s="20" t="s">
        <v>59</v>
      </c>
      <c r="C59" s="25" t="n">
        <v>0.3496</v>
      </c>
      <c r="D59" s="25" t="n">
        <v>0.3424</v>
      </c>
      <c r="E59" s="25" t="n">
        <v>0.308</v>
      </c>
    </row>
    <row r="60" spans="1:13">
      <c r="B60" s="20" t="s">
        <v>60</v>
      </c>
      <c r="C60" s="25" t="n">
        <v>0.3605</v>
      </c>
      <c r="D60" s="25" t="n">
        <v>0.3447</v>
      </c>
      <c r="E60" s="25" t="n">
        <v>0.2948</v>
      </c>
    </row>
    <row r="61" spans="1:13">
      <c r="B61" s="20" t="s">
        <v>61</v>
      </c>
      <c r="C61" s="25" t="n">
        <v>0.3385</v>
      </c>
      <c r="D61" s="25" t="n">
        <v>0.3518</v>
      </c>
      <c r="E61" s="25" t="n">
        <v>0.3097</v>
      </c>
    </row>
    <row r="62" spans="1:13"/>
    <row r="63" spans="1:13">
      <c r="B63" t="s">
        <v>91</v>
      </c>
    </row>
    <row r="64" spans="1:13"/>
    <row r="65" spans="1:13">
      <c r="B65" s="1" t="s">
        <v>92</v>
      </c>
    </row>
    <row r="66" spans="1:13"/>
    <row r="67" spans="1:13">
      <c r="B67" s="15" t="s">
        <v>93</v>
      </c>
    </row>
    <row r="68" spans="1:13">
      <c r="B68" s="23" t="s">
        <v>59</v>
      </c>
      <c r="D68" s="23" t="n">
        <v>0.5159</v>
      </c>
      <c r="E68" s="23" t="n">
        <v>0.328</v>
      </c>
    </row>
    <row r="69" spans="1:13">
      <c r="B69" s="23" t="s">
        <v>60</v>
      </c>
      <c r="D69" s="23" t="n">
        <v>0.5181</v>
      </c>
      <c r="E69" s="23" t="n">
        <v>0.3266</v>
      </c>
    </row>
    <row r="70" spans="1:13">
      <c r="B70" s="23" t="s">
        <v>61</v>
      </c>
      <c r="D70" s="23" t="n">
        <v>0.519</v>
      </c>
      <c r="E70" s="23" t="n">
        <v>0.3305</v>
      </c>
    </row>
  </sheetData>
  <mergeCells count="6">
    <mergeCell ref="B11:T11"/>
    <mergeCell ref="B20:T20"/>
    <mergeCell ref="B2:AH2"/>
    <mergeCell ref="B65:T65"/>
    <mergeCell ref="B55:T55"/>
    <mergeCell ref="B38:T38"/>
  </mergeCells>
  <pageMargins bottom="1" footer="0.5" header="0.5" left="0.75" right="0.75" top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 outlineLevelCol="0"/>
  <cols>
    <col customWidth="1" max="1" min="1" width="12"/>
    <col customWidth="1" max="2" min="2" width="12"/>
    <col customWidth="1" max="3" min="3" width="12"/>
    <col customWidth="1" max="4" min="4" width="12"/>
    <col customWidth="1" max="5" min="5" width="12"/>
    <col customWidth="1" max="6" min="6" width="12"/>
    <col customWidth="1" max="7" min="7" width="12"/>
    <col customWidth="1" max="8" min="8" width="12"/>
    <col customWidth="1" max="9" min="9" width="12"/>
    <col customWidth="1" max="10" min="10" width="12"/>
    <col customWidth="1" max="11" min="11" width="12"/>
    <col customWidth="1" max="12" min="12" width="9"/>
    <col customWidth="1" max="13" min="13" width="9"/>
    <col customWidth="1" max="14" min="14" width="9"/>
    <col customWidth="1" max="15" min="15" width="9"/>
    <col customWidth="1" max="16" min="16" width="9"/>
    <col customWidth="1" max="17" min="17" width="9"/>
  </cols>
  <sheetData>
    <row r="1" spans="1:11"/>
    <row r="2" spans="1:11">
      <c r="B2" s="9" t="s">
        <v>94</v>
      </c>
    </row>
    <row r="3" spans="1:11"/>
    <row r="4" spans="1:11">
      <c r="B4" s="2" t="s">
        <v>95</v>
      </c>
    </row>
    <row r="5" spans="1:11"/>
    <row r="6" spans="1:11"/>
    <row r="7" spans="1:11">
      <c r="B7" s="13" t="s">
        <v>96</v>
      </c>
    </row>
    <row r="8" spans="1:11"/>
    <row r="9" spans="1:11">
      <c r="B9" s="21" t="s">
        <v>59</v>
      </c>
      <c r="D9" s="21" t="n">
        <v>0.5159</v>
      </c>
      <c r="E9" s="21" t="n">
        <v>0.328</v>
      </c>
    </row>
    <row r="10" spans="1:11">
      <c r="B10" s="21" t="s">
        <v>60</v>
      </c>
      <c r="D10" s="21" t="n">
        <v>0.5181</v>
      </c>
      <c r="E10" s="21" t="n">
        <v>0.3266</v>
      </c>
    </row>
    <row r="11" spans="1:11">
      <c r="B11" s="21" t="s">
        <v>61</v>
      </c>
      <c r="D11" s="21" t="n">
        <v>0.519</v>
      </c>
      <c r="E11" s="21" t="n">
        <v>0.3305</v>
      </c>
    </row>
    <row r="12" spans="1:11"/>
    <row r="13" spans="1:11"/>
    <row r="14" spans="1:11">
      <c r="B14" s="14" t="s">
        <v>97</v>
      </c>
    </row>
    <row r="15" spans="1:11"/>
    <row r="16" spans="1:11">
      <c r="B16" s="21" t="s">
        <v>98</v>
      </c>
      <c r="F16" s="22" t="s">
        <v>99</v>
      </c>
      <c r="J16" s="23" t="s">
        <v>100</v>
      </c>
    </row>
    <row r="17" spans="1:11">
      <c r="B17" s="21" t="n">
        <v>-0.1</v>
      </c>
      <c r="C17" s="21" t="n">
        <v>0.2</v>
      </c>
      <c r="F17" s="22" t="n">
        <v>0.2</v>
      </c>
      <c r="G17" s="22" t="n">
        <v>0.1</v>
      </c>
      <c r="J17" s="23" t="n">
        <v>0.1</v>
      </c>
      <c r="K17" s="23" t="n">
        <v>-0.2</v>
      </c>
    </row>
    <row r="18" spans="1:11">
      <c r="B18" s="21" t="n">
        <v>0.2</v>
      </c>
      <c r="C18" s="21" t="n">
        <v>0.1</v>
      </c>
      <c r="F18" s="22" t="n">
        <v>-0.1</v>
      </c>
      <c r="G18" s="22" t="n">
        <v>0.2</v>
      </c>
      <c r="J18" s="23" t="n">
        <v>0.2</v>
      </c>
      <c r="K18" s="23" t="n">
        <v>0.1</v>
      </c>
    </row>
    <row r="19" spans="1:11">
      <c r="B19" s="21" t="n">
        <v>0.1</v>
      </c>
      <c r="C19" s="21" t="n">
        <v>-0.3</v>
      </c>
      <c r="F19" s="22" t="n">
        <v>0.1</v>
      </c>
      <c r="G19" s="22" t="n">
        <v>-0.1</v>
      </c>
      <c r="J19" s="23" t="n">
        <v>-0.2</v>
      </c>
      <c r="K19" s="23" t="n">
        <v>0.3</v>
      </c>
    </row>
    <row r="20" spans="1:11">
      <c r="B20" s="21" t="n">
        <v>-0.2</v>
      </c>
      <c r="C20" s="21" t="n">
        <v>0.1</v>
      </c>
      <c r="F20" s="22" t="n">
        <v>0.3</v>
      </c>
      <c r="G20" s="22" t="n">
        <v>0.2</v>
      </c>
      <c r="J20" s="23" t="n">
        <v>0.1</v>
      </c>
      <c r="K20" s="23" t="n">
        <v>0.2</v>
      </c>
    </row>
    <row r="21" spans="1:11"/>
    <row r="22" spans="1:11">
      <c r="B22" s="13" t="s">
        <v>101</v>
      </c>
      <c r="F22" s="14" t="s">
        <v>102</v>
      </c>
      <c r="J22" s="15" t="s">
        <v>103</v>
      </c>
    </row>
    <row r="23" spans="1:11">
      <c r="B23" s="21" t="n">
        <v>-0.05</v>
      </c>
      <c r="C23" s="21" t="n">
        <v>0.13</v>
      </c>
      <c r="F23" s="22" t="n">
        <v>0.35</v>
      </c>
      <c r="G23" s="22" t="n">
        <v>0.37</v>
      </c>
      <c r="J23" s="23" t="n">
        <v>0.22</v>
      </c>
      <c r="K23" s="23" t="n">
        <v>0.36</v>
      </c>
    </row>
    <row r="24" spans="1:11">
      <c r="B24" s="21" t="n">
        <v>-0.2551</v>
      </c>
      <c r="C24" s="21" t="n">
        <v>0.5193</v>
      </c>
      <c r="F24" s="22" t="n">
        <v>0.5953000000000001</v>
      </c>
      <c r="G24" s="22" t="n">
        <v>0.5911999999999999</v>
      </c>
      <c r="J24" s="23" t="n">
        <v>0.4602</v>
      </c>
      <c r="K24" s="23" t="n">
        <v>0.0687</v>
      </c>
    </row>
    <row r="25" spans="1:11">
      <c r="B25" s="21" t="n">
        <v>-0.1821</v>
      </c>
      <c r="C25" s="21" t="n">
        <v>0.1142</v>
      </c>
      <c r="F25" s="22" t="n">
        <v>0.3854</v>
      </c>
      <c r="G25" s="22" t="n">
        <v>0.1757</v>
      </c>
      <c r="J25" s="23" t="n">
        <v>0.0737</v>
      </c>
      <c r="K25" s="23" t="n">
        <v>0.0925</v>
      </c>
    </row>
    <row r="26" spans="1:11"/>
    <row r="27" spans="1:11">
      <c r="B27" s="9" t="s">
        <v>104</v>
      </c>
    </row>
    <row r="28" spans="1:11">
      <c r="B28" s="25" t="n">
        <v>0.3341</v>
      </c>
      <c r="C28" s="25" t="n">
        <v>0.3381</v>
      </c>
      <c r="D28" s="25" t="n">
        <v>0.3278</v>
      </c>
    </row>
    <row r="29" spans="1:11">
      <c r="B29" s="25" t="n">
        <v>0.3375</v>
      </c>
      <c r="C29" s="25" t="n">
        <v>0.3502</v>
      </c>
      <c r="D29" s="25" t="n">
        <v>0.3123</v>
      </c>
    </row>
    <row r="30" spans="1:11">
      <c r="B30" s="25" t="n">
        <v>0.3371</v>
      </c>
      <c r="C30" s="25" t="n">
        <v>0.3325</v>
      </c>
      <c r="D30" s="25" t="n">
        <v>0.3304</v>
      </c>
    </row>
    <row r="31" spans="1:11"/>
    <row r="32" spans="1:11">
      <c r="B32" s="14" t="s">
        <v>105</v>
      </c>
    </row>
    <row r="33" spans="1:11">
      <c r="B33" s="22" t="s">
        <v>59</v>
      </c>
      <c r="D33" s="22" t="n">
        <v>0.2532</v>
      </c>
      <c r="E33" s="22" t="n">
        <v>0.1738</v>
      </c>
    </row>
    <row r="34" spans="1:11">
      <c r="B34" s="22" t="s">
        <v>60</v>
      </c>
      <c r="D34" s="22" t="n">
        <v>0.2584</v>
      </c>
      <c r="E34" s="22" t="n">
        <v>0.1745</v>
      </c>
    </row>
    <row r="35" spans="1:11">
      <c r="B35" s="22" t="s">
        <v>61</v>
      </c>
      <c r="D35" s="22" t="n">
        <v>0.2515</v>
      </c>
      <c r="E35" s="22" t="n">
        <v>0.1748</v>
      </c>
    </row>
    <row r="36" spans="1:11"/>
    <row r="37" spans="1:11"/>
    <row r="38" spans="1:11">
      <c r="B38" s="12" t="s">
        <v>106</v>
      </c>
    </row>
    <row r="39" spans="1:11"/>
    <row r="40" spans="1:11">
      <c r="B40" s="12" t="s">
        <v>107</v>
      </c>
      <c r="D40" s="21" t="s">
        <v>108</v>
      </c>
      <c r="F40" s="22" t="s">
        <v>109</v>
      </c>
    </row>
    <row r="41" spans="1:11">
      <c r="B41" s="26" t="s">
        <v>59</v>
      </c>
      <c r="D41" s="21" t="n">
        <v>0.5159</v>
      </c>
      <c r="E41" s="21" t="n">
        <v>0.328</v>
      </c>
      <c r="F41" s="22" t="n">
        <v>0.2532</v>
      </c>
      <c r="G41" s="22" t="n">
        <v>0.1738</v>
      </c>
    </row>
    <row r="42" spans="1:11">
      <c r="B42" s="26" t="s">
        <v>60</v>
      </c>
      <c r="D42" s="21" t="n">
        <v>0.5181</v>
      </c>
      <c r="E42" s="21" t="n">
        <v>0.3266</v>
      </c>
      <c r="F42" s="22" t="n">
        <v>0.2584</v>
      </c>
      <c r="G42" s="22" t="n">
        <v>0.1745</v>
      </c>
    </row>
    <row r="43" spans="1:11">
      <c r="B43" s="26" t="s">
        <v>61</v>
      </c>
      <c r="D43" s="21" t="n">
        <v>0.519</v>
      </c>
      <c r="E43" s="21" t="n">
        <v>0.3305</v>
      </c>
      <c r="F43" s="22" t="n">
        <v>0.2515</v>
      </c>
      <c r="G43" s="22" t="n">
        <v>0.1748</v>
      </c>
    </row>
    <row r="44" spans="1:11"/>
    <row r="45" spans="1:11"/>
    <row r="46" spans="1:11">
      <c r="B46" s="1" t="s">
        <v>110</v>
      </c>
    </row>
    <row r="47" spans="1:11"/>
    <row r="48" spans="1:11">
      <c r="B48" s="12" t="s">
        <v>111</v>
      </c>
    </row>
    <row r="49" spans="1:11">
      <c r="B49" s="26" t="n">
        <v>0.2</v>
      </c>
      <c r="C49" s="26" t="n">
        <v>-0.1</v>
      </c>
      <c r="D49" s="26" t="n">
        <v>0.1</v>
      </c>
      <c r="E49" s="26" t="n">
        <v>0.3</v>
      </c>
    </row>
    <row r="50" spans="1:11">
      <c r="B50" s="26" t="n">
        <v>0.1</v>
      </c>
      <c r="C50" s="26" t="n">
        <v>0.2</v>
      </c>
      <c r="D50" s="26" t="n">
        <v>-0.2</v>
      </c>
      <c r="E50" s="26" t="n">
        <v>0.1</v>
      </c>
    </row>
    <row r="51" spans="1:11">
      <c r="B51" s="26" t="n">
        <v>-0.1</v>
      </c>
      <c r="C51" s="26" t="n">
        <v>0.3</v>
      </c>
      <c r="D51" s="26" t="n">
        <v>0.2</v>
      </c>
      <c r="E51" s="26" t="n">
        <v>-0.1</v>
      </c>
    </row>
    <row r="52" spans="1:11">
      <c r="B52" s="26" t="n">
        <v>0.2</v>
      </c>
      <c r="C52" s="26" t="n">
        <v>0.1</v>
      </c>
      <c r="D52" s="26" t="n">
        <v>0.1</v>
      </c>
      <c r="E52" s="26" t="n">
        <v>0.2</v>
      </c>
    </row>
    <row r="53" spans="1:11"/>
    <row r="54" spans="1:11">
      <c r="B54" s="10" t="s">
        <v>112</v>
      </c>
    </row>
    <row r="55" spans="1:11">
      <c r="B55" s="19" t="s">
        <v>59</v>
      </c>
      <c r="D55" s="19" t="n">
        <v>0.1454</v>
      </c>
      <c r="E55" s="19" t="n">
        <v>0.1074</v>
      </c>
      <c r="F55" s="19" t="n">
        <v>0.054</v>
      </c>
      <c r="G55" s="19" t="n">
        <v>0.197</v>
      </c>
    </row>
    <row r="56" spans="1:11">
      <c r="B56" s="19" t="s">
        <v>60</v>
      </c>
      <c r="D56" s="19" t="n">
        <v>0.1453</v>
      </c>
      <c r="E56" s="19" t="n">
        <v>0.1085</v>
      </c>
      <c r="F56" s="19" t="n">
        <v>0.0556</v>
      </c>
      <c r="G56" s="19" t="n">
        <v>0.1971</v>
      </c>
    </row>
    <row r="57" spans="1:11">
      <c r="B57" s="19" t="s">
        <v>61</v>
      </c>
      <c r="D57" s="19" t="n">
        <v>0.1466</v>
      </c>
      <c r="E57" s="19" t="n">
        <v>0.1072</v>
      </c>
      <c r="F57" s="19" t="n">
        <v>0.0536</v>
      </c>
      <c r="G57" s="19" t="n">
        <v>0.1985</v>
      </c>
    </row>
  </sheetData>
  <mergeCells count="5">
    <mergeCell ref="B46:N46"/>
    <mergeCell ref="B7:J7"/>
    <mergeCell ref="B14:J14"/>
    <mergeCell ref="B2:AH2"/>
    <mergeCell ref="B38:J38"/>
  </mergeCells>
  <pageMargins bottom="1" footer="0.5" header="0.5" left="0.75" right="0.75" top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32"/>
  <sheetViews>
    <sheetView workbookViewId="0">
      <selection activeCell="A1" sqref="A1"/>
    </sheetView>
  </sheetViews>
  <sheetFormatPr baseColWidth="8" defaultRowHeight="15" outlineLevelCol="0"/>
  <cols>
    <col customWidth="1" max="1" min="1" width="12"/>
    <col customWidth="1" max="2" min="2" width="12"/>
    <col customWidth="1" max="3" min="3" width="12"/>
    <col customWidth="1" max="4" min="4" width="12"/>
    <col customWidth="1" max="5" min="5" width="12"/>
    <col customWidth="1" max="6" min="6" width="12"/>
    <col customWidth="1" max="7" min="7" width="12"/>
    <col customWidth="1" max="8" min="8" width="12"/>
    <col customWidth="1" max="9" min="9" width="12"/>
    <col customWidth="1" max="10" min="10" width="12"/>
    <col customWidth="1" max="11" min="11" width="12"/>
    <col customWidth="1" max="12" min="12" width="12"/>
    <col customWidth="1" max="13" min="13" width="12"/>
    <col customWidth="1" max="14" min="14" width="12"/>
    <col customWidth="1" max="15" min="15" width="12"/>
    <col customWidth="1" max="16" min="16" width="12"/>
    <col customWidth="1" max="17" min="17" width="12"/>
    <col customWidth="1" max="18" min="18" width="12"/>
    <col customWidth="1" max="19" min="19" width="12"/>
    <col customWidth="1" max="20" min="20" width="8"/>
    <col customWidth="1" max="21" min="21" width="8"/>
    <col customWidth="1" max="22" min="22" width="8"/>
    <col customWidth="1" max="23" min="23" width="8"/>
    <col customWidth="1" max="24" min="24" width="8"/>
  </cols>
  <sheetData>
    <row r="1" spans="1:20"/>
    <row r="2" spans="1:20">
      <c r="B2" s="11" t="s">
        <v>113</v>
      </c>
    </row>
    <row r="3" spans="1:20"/>
    <row r="4" spans="1:20">
      <c r="B4" s="10" t="s">
        <v>114</v>
      </c>
    </row>
    <row r="5" spans="1:20"/>
    <row r="6" spans="1:20">
      <c r="B6" t="s">
        <v>115</v>
      </c>
    </row>
    <row r="7" spans="1:20"/>
    <row r="8" spans="1:20">
      <c r="B8" s="6" t="s">
        <v>116</v>
      </c>
      <c r="I8" s="9" t="s">
        <v>117</v>
      </c>
      <c r="P8" s="10">
        <f> After Add:</f>
        <v/>
      </c>
    </row>
    <row r="9" spans="1:20">
      <c r="B9" s="17" t="s">
        <v>59</v>
      </c>
      <c r="C9" s="17" t="n">
        <v>0.3</v>
      </c>
      <c r="D9" s="17" t="n">
        <v>0.8</v>
      </c>
      <c r="E9" s="17" t="n">
        <v>0.4</v>
      </c>
      <c r="F9" s="17" t="n">
        <v>1.1</v>
      </c>
      <c r="I9" s="25" t="s">
        <v>59</v>
      </c>
      <c r="J9" s="25" t="n">
        <v>0.145</v>
      </c>
      <c r="K9" s="25" t="n">
        <v>0.107</v>
      </c>
      <c r="L9" s="25" t="n">
        <v>0.054</v>
      </c>
      <c r="M9" s="25" t="n">
        <v>0.197</v>
      </c>
      <c r="P9" s="19" t="s">
        <v>59</v>
      </c>
      <c r="Q9" s="19" t="n">
        <v>0.445</v>
      </c>
      <c r="R9" s="19" t="n">
        <v>0.907</v>
      </c>
      <c r="S9" s="19" t="n">
        <v>0.454</v>
      </c>
      <c r="T9" s="19" t="n">
        <v>1.297</v>
      </c>
    </row>
    <row r="10" spans="1:20">
      <c r="B10" s="17" t="s">
        <v>60</v>
      </c>
      <c r="C10" s="17" t="n">
        <v>1.341</v>
      </c>
      <c r="D10" s="17" t="n">
        <v>0.84</v>
      </c>
      <c r="E10" s="17" t="n">
        <v>-0.09</v>
      </c>
      <c r="F10" s="17" t="n">
        <v>1.4</v>
      </c>
      <c r="I10" s="25" t="s">
        <v>60</v>
      </c>
      <c r="J10" s="25" t="n">
        <v>0.145</v>
      </c>
      <c r="K10" s="25" t="n">
        <v>0.108</v>
      </c>
      <c r="L10" s="25" t="n">
        <v>0.056</v>
      </c>
      <c r="M10" s="25" t="n">
        <v>0.197</v>
      </c>
      <c r="P10" s="19" t="s">
        <v>60</v>
      </c>
      <c r="Q10" s="19" t="n">
        <v>1.487</v>
      </c>
      <c r="R10" s="19" t="n">
        <v>0.949</v>
      </c>
      <c r="S10" s="19" t="n">
        <v>-0.034</v>
      </c>
      <c r="T10" s="19" t="n">
        <v>1.597</v>
      </c>
    </row>
    <row r="11" spans="1:20">
      <c r="B11" s="17" t="s">
        <v>61</v>
      </c>
      <c r="C11" s="17" t="n">
        <v>0.709</v>
      </c>
      <c r="D11" s="17" t="n">
        <v>-0.016</v>
      </c>
      <c r="E11" s="17" t="n">
        <v>0.32</v>
      </c>
      <c r="F11" s="17" t="n">
        <v>0.7</v>
      </c>
      <c r="I11" s="25" t="s">
        <v>61</v>
      </c>
      <c r="J11" s="25" t="n">
        <v>0.147</v>
      </c>
      <c r="K11" s="25" t="n">
        <v>0.107</v>
      </c>
      <c r="L11" s="25" t="n">
        <v>0.054</v>
      </c>
      <c r="M11" s="25" t="n">
        <v>0.199</v>
      </c>
      <c r="P11" s="19" t="s">
        <v>61</v>
      </c>
      <c r="Q11" s="19" t="n">
        <v>0.856</v>
      </c>
      <c r="R11" s="19" t="n">
        <v>0.091</v>
      </c>
      <c r="S11" s="19" t="n">
        <v>0.374</v>
      </c>
      <c r="T11" s="19" t="n">
        <v>0.898</v>
      </c>
    </row>
    <row r="12" spans="1:20"/>
    <row r="13" spans="1:20"/>
    <row r="14" spans="1:20">
      <c r="B14" s="11" t="s">
        <v>118</v>
      </c>
    </row>
    <row r="15" spans="1:20"/>
    <row r="16" spans="1:20">
      <c r="B16" s="27" t="s">
        <v>119</v>
      </c>
    </row>
    <row r="17" spans="1:20">
      <c r="B17" t="s">
        <v>120</v>
      </c>
    </row>
    <row r="18" spans="1:20"/>
    <row r="19" spans="1:20">
      <c r="B19" s="11" t="s">
        <v>121</v>
      </c>
    </row>
    <row r="20" spans="1:20">
      <c r="B20" s="28" t="s">
        <v>59</v>
      </c>
      <c r="D20" s="28" t="n">
        <v>0.004</v>
      </c>
      <c r="E20" s="28" t="n">
        <v>0.1121</v>
      </c>
      <c r="F20" s="28" t="n">
        <v>0.2202</v>
      </c>
      <c r="G20" s="28" t="n">
        <v>0.3282</v>
      </c>
    </row>
    <row r="21" spans="1:20">
      <c r="B21" s="28" t="s">
        <v>60</v>
      </c>
      <c r="D21" s="28" t="n">
        <v>0.0233</v>
      </c>
      <c r="E21" s="28" t="n">
        <v>0.1167</v>
      </c>
      <c r="F21" s="28" t="n">
        <v>0.2102</v>
      </c>
      <c r="G21" s="28" t="n">
        <v>0.3036</v>
      </c>
    </row>
    <row r="22" spans="1:20">
      <c r="B22" s="28" t="s">
        <v>61</v>
      </c>
      <c r="D22" s="28" t="n">
        <v>0.0249</v>
      </c>
      <c r="E22" s="28" t="n">
        <v>0.0944</v>
      </c>
      <c r="F22" s="28" t="n">
        <v>0.1638</v>
      </c>
      <c r="G22" s="28" t="n">
        <v>0.2332</v>
      </c>
    </row>
    <row r="23" spans="1:20"/>
    <row r="24" spans="1:20"/>
    <row r="25" spans="1:20">
      <c r="B25" s="12" t="s">
        <v>122</v>
      </c>
    </row>
    <row r="26" spans="1:20"/>
    <row r="27" spans="1:20">
      <c r="B27" t="s">
        <v>123</v>
      </c>
    </row>
    <row r="28" spans="1:20"/>
    <row r="29" spans="1:20">
      <c r="B29" s="12" t="s">
        <v>124</v>
      </c>
    </row>
    <row r="30" spans="1:20">
      <c r="B30" s="26" t="s">
        <v>59</v>
      </c>
      <c r="D30" s="26" t="n">
        <v>0.4494</v>
      </c>
      <c r="E30" s="26" t="n">
        <v>1.0195</v>
      </c>
      <c r="F30" s="26" t="n">
        <v>0.6742</v>
      </c>
      <c r="G30" s="26" t="n">
        <v>1.6252</v>
      </c>
    </row>
    <row r="31" spans="1:20">
      <c r="B31" s="26" t="s">
        <v>60</v>
      </c>
      <c r="D31" s="26" t="n">
        <v>1.5101</v>
      </c>
      <c r="E31" s="26" t="n">
        <v>1.0655</v>
      </c>
      <c r="F31" s="26" t="n">
        <v>0.1758</v>
      </c>
      <c r="G31" s="26" t="n">
        <v>1.9008</v>
      </c>
    </row>
    <row r="32" spans="1:20">
      <c r="B32" s="26" t="s">
        <v>61</v>
      </c>
      <c r="D32" s="26" t="n">
        <v>0.8809</v>
      </c>
      <c r="E32" s="26" t="n">
        <v>0.1854</v>
      </c>
      <c r="F32" s="26" t="n">
        <v>0.5374</v>
      </c>
      <c r="G32" s="26" t="n">
        <v>1.1316</v>
      </c>
    </row>
  </sheetData>
  <mergeCells count="4">
    <mergeCell ref="B2:AH2"/>
    <mergeCell ref="B14:N14"/>
    <mergeCell ref="B4:N4"/>
    <mergeCell ref="B25:N25"/>
  </mergeCells>
  <pageMargins bottom="1" footer="0.5" header="0.5" left="0.75" right="0.75" top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 outlineLevelCol="0"/>
  <cols>
    <col customWidth="1" max="1" min="1" width="12"/>
    <col customWidth="1" max="2" min="2" width="12"/>
    <col customWidth="1" max="3" min="3" width="12"/>
    <col customWidth="1" max="4" min="4" width="12"/>
    <col customWidth="1" max="5" min="5" width="12"/>
    <col customWidth="1" max="6" min="6" width="12"/>
    <col customWidth="1" max="7" min="7" width="10"/>
    <col customWidth="1" max="8" min="8" width="10"/>
    <col customWidth="1" max="9" min="9" width="10"/>
    <col customWidth="1" max="10" min="10" width="10"/>
    <col customWidth="1" max="11" min="11" width="10"/>
    <col customWidth="1" max="12" min="12" width="10"/>
    <col customWidth="1" max="13" min="13" width="10"/>
    <col customWidth="1" max="14" min="14" width="10"/>
  </cols>
  <sheetData>
    <row r="1" spans="1:6"/>
    <row r="2" spans="1:6">
      <c r="B2" s="9" t="s">
        <v>125</v>
      </c>
    </row>
    <row r="3" spans="1:6"/>
    <row r="4" spans="1:6">
      <c r="B4" t="s">
        <v>126</v>
      </c>
    </row>
    <row r="5" spans="1:6"/>
    <row r="6" spans="1:6"/>
    <row r="7" spans="1:6">
      <c r="B7" s="13" t="s">
        <v>127</v>
      </c>
    </row>
    <row r="8" spans="1:6"/>
    <row r="9" spans="1:6">
      <c r="B9" s="1" t="s">
        <v>128</v>
      </c>
      <c r="D9" s="14" t="s">
        <v>59</v>
      </c>
      <c r="E9" s="14" t="s">
        <v>60</v>
      </c>
      <c r="F9" s="14" t="s">
        <v>61</v>
      </c>
    </row>
    <row r="10" spans="1:6">
      <c r="B10" s="13" t="s">
        <v>59</v>
      </c>
      <c r="D10" s="25" t="s">
        <v>129</v>
      </c>
      <c r="E10" s="25" t="s">
        <v>130</v>
      </c>
      <c r="F10" s="25" t="s">
        <v>131</v>
      </c>
    </row>
    <row r="11" spans="1:6">
      <c r="B11" s="13" t="s">
        <v>60</v>
      </c>
      <c r="D11" s="25" t="s">
        <v>132</v>
      </c>
      <c r="E11" s="25" t="s">
        <v>133</v>
      </c>
      <c r="F11" s="25" t="s">
        <v>134</v>
      </c>
    </row>
    <row r="12" spans="1:6">
      <c r="B12" s="13" t="s">
        <v>61</v>
      </c>
      <c r="D12" s="25" t="s">
        <v>135</v>
      </c>
      <c r="E12" s="25" t="s">
        <v>136</v>
      </c>
      <c r="F12" s="25" t="s">
        <v>137</v>
      </c>
    </row>
    <row r="13" spans="1:6"/>
    <row r="14" spans="1:6"/>
    <row r="15" spans="1:6">
      <c r="B15" s="14" t="s">
        <v>138</v>
      </c>
    </row>
    <row r="16" spans="1:6"/>
    <row r="17" spans="1:6">
      <c r="B17" s="1" t="s">
        <v>128</v>
      </c>
      <c r="D17" s="14" t="s">
        <v>59</v>
      </c>
      <c r="E17" s="14" t="s">
        <v>60</v>
      </c>
      <c r="F17" s="14" t="s">
        <v>61</v>
      </c>
    </row>
    <row r="18" spans="1:6">
      <c r="B18" s="13" t="s">
        <v>59</v>
      </c>
      <c r="D18" s="25" t="s">
        <v>139</v>
      </c>
      <c r="E18" s="25" t="s">
        <v>135</v>
      </c>
      <c r="F18" s="25" t="s">
        <v>140</v>
      </c>
    </row>
    <row r="19" spans="1:6">
      <c r="B19" s="13" t="s">
        <v>60</v>
      </c>
      <c r="D19" s="25" t="s">
        <v>135</v>
      </c>
      <c r="E19" s="25" t="s">
        <v>129</v>
      </c>
      <c r="F19" s="25" t="s">
        <v>141</v>
      </c>
    </row>
    <row r="20" spans="1:6">
      <c r="B20" s="13" t="s">
        <v>61</v>
      </c>
      <c r="D20" s="25" t="s">
        <v>142</v>
      </c>
      <c r="E20" s="25" t="s">
        <v>143</v>
      </c>
      <c r="F20" s="25" t="s">
        <v>144</v>
      </c>
    </row>
    <row r="21" spans="1:6"/>
    <row r="22" spans="1:6"/>
    <row r="23" spans="1:6"/>
    <row r="24" spans="1:6">
      <c r="B24" s="1" t="s">
        <v>145</v>
      </c>
    </row>
    <row r="25" spans="1:6"/>
    <row r="26" spans="1:6">
      <c r="B26" t="s">
        <v>146</v>
      </c>
    </row>
    <row r="27" spans="1:6">
      <c r="B27" t="s">
        <v>147</v>
      </c>
    </row>
    <row r="28" spans="1:6">
      <c r="B28" t="s">
        <v>148</v>
      </c>
    </row>
    <row r="29" spans="1:6">
      <c r="B29" t="s">
        <v>149</v>
      </c>
    </row>
  </sheetData>
  <mergeCells count="4">
    <mergeCell ref="B15:J15"/>
    <mergeCell ref="B7:J7"/>
    <mergeCell ref="B24:N24"/>
    <mergeCell ref="B2:T2"/>
  </mergeCells>
  <pageMargins bottom="1" footer="0.5" header="0.5" left="0.75" right="0.75" top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 outlineLevelCol="0"/>
  <cols>
    <col customWidth="1" max="1" min="1" width="12"/>
    <col customWidth="1" max="2" min="2" width="12"/>
    <col customWidth="1" max="3" min="3" width="12"/>
    <col customWidth="1" max="4" min="4" width="12"/>
    <col customWidth="1" max="5" min="5" width="12"/>
    <col customWidth="1" max="6" min="6" width="10"/>
    <col customWidth="1" max="7" min="7" width="10"/>
    <col customWidth="1" max="8" min="8" width="10"/>
    <col customWidth="1" max="9" min="9" width="10"/>
    <col customWidth="1" max="10" min="10" width="10"/>
    <col customWidth="1" max="11" min="11" width="10"/>
    <col customWidth="1" max="12" min="12" width="10"/>
    <col customWidth="1" max="13" min="13" width="10"/>
    <col customWidth="1" max="14" min="14" width="10"/>
    <col customWidth="1" max="15" min="15" width="10"/>
    <col customWidth="1" max="16" min="16" width="10"/>
    <col customWidth="1" max="17" min="17" width="10"/>
    <col customWidth="1" max="18" min="18" width="10"/>
    <col customWidth="1" max="19" min="19" width="10"/>
  </cols>
  <sheetData>
    <row r="1" spans="1:5"/>
    <row r="2" spans="1:5">
      <c r="B2" s="1" t="s">
        <v>150</v>
      </c>
    </row>
    <row r="3" spans="1:5"/>
    <row r="4" spans="1:5">
      <c r="B4" s="6" t="s">
        <v>151</v>
      </c>
    </row>
    <row r="5" spans="1:5">
      <c r="B5" s="17" t="s">
        <v>152</v>
      </c>
      <c r="D5" t="s">
        <v>153</v>
      </c>
    </row>
    <row r="6" spans="1:5">
      <c r="B6" s="17" t="s">
        <v>154</v>
      </c>
      <c r="D6" t="s">
        <v>155</v>
      </c>
    </row>
    <row r="7" spans="1:5">
      <c r="B7" s="17" t="s">
        <v>156</v>
      </c>
      <c r="D7" t="s">
        <v>157</v>
      </c>
    </row>
    <row r="8" spans="1:5"/>
    <row r="9" spans="1:5">
      <c r="B9" s="13" t="s">
        <v>158</v>
      </c>
    </row>
    <row r="10" spans="1:5">
      <c r="B10" s="21" t="s">
        <v>159</v>
      </c>
      <c r="E10" t="s">
        <v>160</v>
      </c>
    </row>
    <row r="11" spans="1:5">
      <c r="B11" s="21" t="s">
        <v>161</v>
      </c>
      <c r="E11" t="s">
        <v>162</v>
      </c>
    </row>
    <row r="12" spans="1:5">
      <c r="B12" s="21" t="s">
        <v>163</v>
      </c>
      <c r="E12" t="s">
        <v>164</v>
      </c>
    </row>
    <row r="13" spans="1:5"/>
    <row r="14" spans="1:5">
      <c r="B14" s="9" t="s">
        <v>165</v>
      </c>
    </row>
    <row r="15" spans="1:5">
      <c r="B15" s="25" t="s">
        <v>152</v>
      </c>
      <c r="D15" t="s">
        <v>166</v>
      </c>
    </row>
    <row r="16" spans="1:5">
      <c r="B16" s="25" t="s">
        <v>154</v>
      </c>
      <c r="D16" t="s">
        <v>167</v>
      </c>
    </row>
    <row r="17" spans="1:5">
      <c r="B17" s="25" t="s">
        <v>156</v>
      </c>
      <c r="D17" t="s">
        <v>168</v>
      </c>
    </row>
    <row r="18" spans="1:5"/>
    <row r="19" spans="1:5">
      <c r="B19" s="9" t="s">
        <v>104</v>
      </c>
    </row>
    <row r="20" spans="1:5">
      <c r="B20" s="25" t="s">
        <v>152</v>
      </c>
      <c r="D20" t="s">
        <v>169</v>
      </c>
    </row>
    <row r="21" spans="1:5">
      <c r="B21" s="25" t="s">
        <v>154</v>
      </c>
      <c r="D21" t="s">
        <v>170</v>
      </c>
    </row>
    <row r="22" spans="1:5">
      <c r="B22" s="25" t="s">
        <v>156</v>
      </c>
      <c r="D22" t="s">
        <v>171</v>
      </c>
    </row>
    <row r="23" spans="1:5"/>
    <row r="24" spans="1:5">
      <c r="B24" s="10" t="s">
        <v>172</v>
      </c>
    </row>
    <row r="25" spans="1:5">
      <c r="B25" s="19" t="s">
        <v>152</v>
      </c>
      <c r="D25" t="s">
        <v>173</v>
      </c>
    </row>
    <row r="26" spans="1:5">
      <c r="B26" s="19" t="s">
        <v>154</v>
      </c>
      <c r="D26" t="s">
        <v>174</v>
      </c>
    </row>
    <row r="27" spans="1:5">
      <c r="B27" s="19" t="s">
        <v>156</v>
      </c>
      <c r="D27" t="s">
        <v>175</v>
      </c>
    </row>
    <row r="28" spans="1:5"/>
    <row r="29" spans="1:5">
      <c r="B29" s="12" t="s">
        <v>176</v>
      </c>
    </row>
    <row r="30" spans="1:5">
      <c r="B30" s="26" t="s">
        <v>152</v>
      </c>
      <c r="D30" t="s">
        <v>177</v>
      </c>
    </row>
    <row r="31" spans="1:5">
      <c r="B31" s="26" t="s">
        <v>154</v>
      </c>
      <c r="D31" t="s">
        <v>178</v>
      </c>
    </row>
    <row r="32" spans="1:5">
      <c r="B32" s="26" t="s">
        <v>156</v>
      </c>
      <c r="D32" t="s">
        <v>179</v>
      </c>
    </row>
  </sheetData>
  <mergeCells count="1">
    <mergeCell ref="B2:T2"/>
  </mergeCells>
  <pageMargins bottom="1" footer="0.5" header="0.5" left="0.75" right="0.75" top="1"/>
</worksheet>
</file>

<file path=docProps/app.xml><?xml version="1.0" encoding="utf-8"?>
<Properties xmlns="http://schemas.openxmlformats.org/officeDocument/2006/extended-properties">
  <Application>Microsoft Excel</Application>
  <AppVersion>2.4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2026-01-20T06:13:09Z</dcterms:created>
  <dcterms:modified xmlns:dcterms="http://purl.org/dc/terms/" xmlns:xsi="http://www.w3.org/2001/XMLSchema-instance" xsi:type="dcterms:W3CDTF">2026-01-20T08:29:04Z</dcterms:modified>
</cp:coreProperties>
</file>