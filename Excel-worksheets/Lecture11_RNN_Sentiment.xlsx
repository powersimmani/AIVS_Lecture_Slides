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Embedding" sheetId="2" state="visible" r:id="rId2"/>
    <sheet xmlns:r="http://schemas.openxmlformats.org/officeDocument/2006/relationships" name="Parameters" sheetId="3" state="visible" r:id="rId3"/>
    <sheet xmlns:r="http://schemas.openxmlformats.org/officeDocument/2006/relationships" name="Forward" sheetId="4" state="visible" r:id="rId4"/>
    <sheet xmlns:r="http://schemas.openxmlformats.org/officeDocument/2006/relationships" name="Backward" sheetId="5" state="visible" r:id="rId5"/>
    <sheet xmlns:r="http://schemas.openxmlformats.org/officeDocument/2006/relationships" name="Answer_Ke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12">
    <fill>
      <patternFill/>
    </fill>
    <fill>
      <patternFill patternType="gray125"/>
    </fill>
    <fill>
      <patternFill patternType="solid">
        <fgColor rgb="00F2F2F2"/>
        <bgColor rgb="00F2F2F2"/>
      </patternFill>
    </fill>
    <fill>
      <patternFill patternType="solid">
        <fgColor rgb="00DAEEF3"/>
        <bgColor rgb="00DAEEF3"/>
      </patternFill>
    </fill>
    <fill>
      <patternFill patternType="solid">
        <fgColor rgb="00D8E4BC"/>
        <bgColor rgb="00D8E4BC"/>
      </patternFill>
    </fill>
    <fill>
      <patternFill patternType="solid">
        <fgColor rgb="00FFF2CC"/>
        <bgColor rgb="00FFF2CC"/>
      </patternFill>
    </fill>
    <fill>
      <patternFill patternType="solid">
        <fgColor rgb="00FDE9D9"/>
        <bgColor rgb="00FDE9D9"/>
      </patternFill>
    </fill>
    <fill>
      <patternFill patternType="solid">
        <fgColor rgb="00E4DFEC"/>
        <bgColor rgb="00E4DFEC"/>
      </patternFill>
    </fill>
    <fill>
      <patternFill patternType="solid">
        <fgColor rgb="00FFE6CC"/>
        <bgColor rgb="00FFE6CC"/>
      </patternFill>
    </fill>
    <fill>
      <patternFill patternType="solid">
        <fgColor rgb="00CCE6FF"/>
        <bgColor rgb="00CCE6FF"/>
      </patternFill>
    </fill>
    <fill>
      <patternFill patternType="solid">
        <fgColor rgb="00FFCCCC"/>
        <bgColor rgb="00FFCCCC"/>
      </patternFill>
    </fill>
    <fill>
      <patternFill patternType="solid">
        <fgColor rgb="00CCFFCC"/>
        <bgColor rgb="00CCFFCC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11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Z16"/>
  <sheetViews>
    <sheetView workbookViewId="0">
      <selection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2">
      <c r="B2" s="1" t="inlineStr">
        <is>
          <t>RNN for Sentiment Analysis (Text Classification)</t>
        </is>
      </c>
    </row>
    <row r="4">
      <c r="B4" s="1" t="inlineStr">
        <is>
          <t>Words → Word Embedding(4D) → RNN Hidden(3, tanh) → Output(1, Sigmoid) → BCE Loss</t>
        </is>
      </c>
    </row>
    <row r="7">
      <c r="B7" s="1" t="inlineStr">
        <is>
          <t>Pipeline:</t>
        </is>
      </c>
    </row>
    <row r="9">
      <c r="B9" s="2" t="inlineStr">
        <is>
          <t>Text</t>
        </is>
      </c>
      <c r="E9" s="3" t="inlineStr">
        <is>
          <t>→</t>
        </is>
      </c>
      <c r="F9" s="4" t="inlineStr">
        <is>
          <t>Token IDs</t>
        </is>
      </c>
      <c r="I9" s="3" t="inlineStr">
        <is>
          <t>→</t>
        </is>
      </c>
      <c r="J9" s="5" t="inlineStr">
        <is>
          <t>Embedding</t>
        </is>
      </c>
      <c r="M9" s="3" t="inlineStr">
        <is>
          <t>→</t>
        </is>
      </c>
      <c r="N9" s="6" t="inlineStr">
        <is>
          <t>RNN</t>
        </is>
      </c>
      <c r="Q9" s="3" t="inlineStr">
        <is>
          <t>→</t>
        </is>
      </c>
      <c r="R9" s="7" t="inlineStr">
        <is>
          <t>Output</t>
        </is>
      </c>
    </row>
    <row r="10">
      <c r="B10" s="8" t="inlineStr">
        <is>
          <t>"this movie"</t>
        </is>
      </c>
      <c r="F10" s="9" t="inlineStr">
        <is>
          <t>[1, 2, ...]</t>
        </is>
      </c>
      <c r="J10" s="10" t="inlineStr">
        <is>
          <t>(seq, 4)</t>
        </is>
      </c>
      <c r="N10" s="11" t="inlineStr">
        <is>
          <t>h_t</t>
        </is>
      </c>
      <c r="R10" s="12" t="inlineStr">
        <is>
          <t>0/1</t>
        </is>
      </c>
    </row>
    <row r="13">
      <c r="B13" s="2" t="inlineStr">
        <is>
          <t>Input Sentences (max 8 words):</t>
        </is>
      </c>
    </row>
    <row r="15">
      <c r="B15" s="13" t="inlineStr">
        <is>
          <t>Sentence 1:</t>
        </is>
      </c>
      <c r="E15" s="14" t="inlineStr">
        <is>
          <t>"this movie is very good"</t>
        </is>
      </c>
      <c r="L15" s="14" t="inlineStr">
        <is>
          <t>y_true = 1 (Positive)</t>
        </is>
      </c>
    </row>
    <row r="16">
      <c r="B16" s="15" t="inlineStr">
        <is>
          <t>Sentence 2:</t>
        </is>
      </c>
      <c r="E16" s="16" t="inlineStr">
        <is>
          <t>"this film is bad"</t>
        </is>
      </c>
      <c r="L16" s="16" t="inlineStr">
        <is>
          <t>y_true = 0 (Negative)</t>
        </is>
      </c>
    </row>
  </sheetData>
  <mergeCells count="2">
    <mergeCell ref="B2:Z2"/>
    <mergeCell ref="B4:Z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T3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</cols>
  <sheetData>
    <row r="2">
      <c r="B2" s="5" t="inlineStr">
        <is>
          <t>Step 1: Word Embedding (Vocabulary → 4D Vectors)</t>
        </is>
      </c>
    </row>
    <row r="5">
      <c r="B5" s="1" t="inlineStr">
        <is>
          <t>Vocabulary (11 words):</t>
        </is>
      </c>
    </row>
    <row r="7">
      <c r="B7" s="1" t="inlineStr">
        <is>
          <t>Word</t>
        </is>
      </c>
      <c r="D7" s="1" t="inlineStr">
        <is>
          <t>ID</t>
        </is>
      </c>
      <c r="F7" s="5" t="inlineStr">
        <is>
          <t>Embedding (4D)</t>
        </is>
      </c>
    </row>
    <row r="8">
      <c r="B8" s="8" t="inlineStr">
        <is>
          <t>&lt;PAD&gt;</t>
        </is>
      </c>
      <c r="D8" s="9" t="n">
        <v>0</v>
      </c>
      <c r="F8" s="10" t="n">
        <v>0</v>
      </c>
      <c r="G8" s="10" t="n">
        <v>0</v>
      </c>
      <c r="H8" s="10" t="n">
        <v>0</v>
      </c>
      <c r="I8" s="10" t="n">
        <v>0</v>
      </c>
    </row>
    <row r="9">
      <c r="B9" s="8" t="inlineStr">
        <is>
          <t>this</t>
        </is>
      </c>
      <c r="D9" s="9" t="n">
        <v>1</v>
      </c>
      <c r="F9" s="10" t="n">
        <v>0.2</v>
      </c>
      <c r="G9" s="10" t="n">
        <v>0.1</v>
      </c>
      <c r="H9" s="10" t="n">
        <v>-0.1</v>
      </c>
      <c r="I9" s="10" t="n">
        <v>0.3</v>
      </c>
    </row>
    <row r="10">
      <c r="B10" s="8" t="inlineStr">
        <is>
          <t>movie</t>
        </is>
      </c>
      <c r="D10" s="9" t="n">
        <v>2</v>
      </c>
      <c r="F10" s="10" t="n">
        <v>0.5</v>
      </c>
      <c r="G10" s="10" t="n">
        <v>0.3</v>
      </c>
      <c r="H10" s="10" t="n">
        <v>0.2</v>
      </c>
      <c r="I10" s="10" t="n">
        <v>-0.1</v>
      </c>
    </row>
    <row r="11">
      <c r="B11" s="8" t="inlineStr">
        <is>
          <t>is</t>
        </is>
      </c>
      <c r="D11" s="9" t="n">
        <v>3</v>
      </c>
      <c r="F11" s="10" t="n">
        <v>-0.1</v>
      </c>
      <c r="G11" s="10" t="n">
        <v>0.2</v>
      </c>
      <c r="H11" s="10" t="n">
        <v>0.1</v>
      </c>
      <c r="I11" s="10" t="n">
        <v>0.1</v>
      </c>
    </row>
    <row r="12">
      <c r="B12" s="8" t="inlineStr">
        <is>
          <t>very</t>
        </is>
      </c>
      <c r="D12" s="9" t="n">
        <v>4</v>
      </c>
      <c r="F12" s="10" t="n">
        <v>0.3</v>
      </c>
      <c r="G12" s="10" t="n">
        <v>0.4</v>
      </c>
      <c r="H12" s="10" t="n">
        <v>-0.2</v>
      </c>
      <c r="I12" s="10" t="n">
        <v>0.2</v>
      </c>
    </row>
    <row r="13">
      <c r="B13" s="8" t="inlineStr">
        <is>
          <t>good</t>
        </is>
      </c>
      <c r="D13" s="9" t="n">
        <v>5</v>
      </c>
      <c r="F13" s="10" t="n">
        <v>0.6</v>
      </c>
      <c r="G13" s="10" t="n">
        <v>0.5</v>
      </c>
      <c r="H13" s="10" t="n">
        <v>0.4</v>
      </c>
      <c r="I13" s="10" t="n">
        <v>0.3</v>
      </c>
    </row>
    <row r="14">
      <c r="B14" s="8" t="inlineStr">
        <is>
          <t>bad</t>
        </is>
      </c>
      <c r="D14" s="9" t="n">
        <v>6</v>
      </c>
      <c r="F14" s="10" t="n">
        <v>-0.5</v>
      </c>
      <c r="G14" s="10" t="n">
        <v>-0.4</v>
      </c>
      <c r="H14" s="10" t="n">
        <v>-0.3</v>
      </c>
      <c r="I14" s="10" t="n">
        <v>-0.2</v>
      </c>
    </row>
    <row r="15">
      <c r="B15" s="8" t="inlineStr">
        <is>
          <t>film</t>
        </is>
      </c>
      <c r="D15" s="9" t="n">
        <v>7</v>
      </c>
      <c r="F15" s="10" t="n">
        <v>0.4</v>
      </c>
      <c r="G15" s="10" t="n">
        <v>0.2</v>
      </c>
      <c r="H15" s="10" t="n">
        <v>0.3</v>
      </c>
      <c r="I15" s="10" t="n">
        <v>-0.1</v>
      </c>
    </row>
    <row r="16">
      <c r="B16" s="8" t="inlineStr">
        <is>
          <t>great</t>
        </is>
      </c>
      <c r="D16" s="9" t="n">
        <v>8</v>
      </c>
      <c r="F16" s="10" t="n">
        <v>0.7</v>
      </c>
      <c r="G16" s="10" t="n">
        <v>0.6</v>
      </c>
      <c r="H16" s="10" t="n">
        <v>0.5</v>
      </c>
      <c r="I16" s="10" t="n">
        <v>0.4</v>
      </c>
    </row>
    <row r="17">
      <c r="B17" s="8" t="inlineStr">
        <is>
          <t>terrible</t>
        </is>
      </c>
      <c r="D17" s="9" t="n">
        <v>9</v>
      </c>
      <c r="F17" s="10" t="n">
        <v>-0.6</v>
      </c>
      <c r="G17" s="10" t="n">
        <v>-0.5</v>
      </c>
      <c r="H17" s="10" t="n">
        <v>-0.4</v>
      </c>
      <c r="I17" s="10" t="n">
        <v>-0.3</v>
      </c>
    </row>
    <row r="18">
      <c r="B18" s="8" t="inlineStr">
        <is>
          <t>not</t>
        </is>
      </c>
      <c r="D18" s="9" t="n">
        <v>10</v>
      </c>
      <c r="F18" s="10" t="n">
        <v>0.1</v>
      </c>
      <c r="G18" s="10" t="n">
        <v>-0.1</v>
      </c>
      <c r="H18" s="10" t="n">
        <v>0.2</v>
      </c>
      <c r="I18" s="10" t="n">
        <v>-0.2</v>
      </c>
    </row>
    <row r="21">
      <c r="B21" s="1" t="inlineStr">
        <is>
          <t>Sentence Embeddings:</t>
        </is>
      </c>
    </row>
    <row r="23">
      <c r="B23" s="13" t="inlineStr">
        <is>
          <t>Sentence 1:</t>
        </is>
      </c>
    </row>
    <row r="24">
      <c r="B24" s="3" t="inlineStr">
        <is>
          <t>Word</t>
        </is>
      </c>
      <c r="D24" s="3" t="inlineStr">
        <is>
          <t>ID</t>
        </is>
      </c>
      <c r="F24" s="3" t="inlineStr">
        <is>
          <t>Embedding</t>
        </is>
      </c>
    </row>
    <row r="25">
      <c r="B25" s="8" t="inlineStr">
        <is>
          <t>this</t>
        </is>
      </c>
      <c r="D25" s="9" t="n">
        <v>1</v>
      </c>
      <c r="F25" s="10" t="n">
        <v>0.2</v>
      </c>
      <c r="G25" s="10" t="n">
        <v>0.1</v>
      </c>
      <c r="H25" s="10" t="n">
        <v>-0.1</v>
      </c>
      <c r="I25" s="10" t="n">
        <v>0.3</v>
      </c>
    </row>
    <row r="26">
      <c r="B26" s="8" t="inlineStr">
        <is>
          <t>movie</t>
        </is>
      </c>
      <c r="D26" s="9" t="n">
        <v>2</v>
      </c>
      <c r="F26" s="10" t="n">
        <v>0.5</v>
      </c>
      <c r="G26" s="10" t="n">
        <v>0.3</v>
      </c>
      <c r="H26" s="10" t="n">
        <v>0.2</v>
      </c>
      <c r="I26" s="10" t="n">
        <v>-0.1</v>
      </c>
    </row>
    <row r="27">
      <c r="B27" s="8" t="inlineStr">
        <is>
          <t>is</t>
        </is>
      </c>
      <c r="D27" s="9" t="n">
        <v>3</v>
      </c>
      <c r="F27" s="10" t="n">
        <v>-0.1</v>
      </c>
      <c r="G27" s="10" t="n">
        <v>0.2</v>
      </c>
      <c r="H27" s="10" t="n">
        <v>0.1</v>
      </c>
      <c r="I27" s="10" t="n">
        <v>0.1</v>
      </c>
    </row>
    <row r="28">
      <c r="B28" s="8" t="inlineStr">
        <is>
          <t>very</t>
        </is>
      </c>
      <c r="D28" s="9" t="n">
        <v>4</v>
      </c>
      <c r="F28" s="10" t="n">
        <v>0.3</v>
      </c>
      <c r="G28" s="10" t="n">
        <v>0.4</v>
      </c>
      <c r="H28" s="10" t="n">
        <v>-0.2</v>
      </c>
      <c r="I28" s="10" t="n">
        <v>0.2</v>
      </c>
    </row>
    <row r="29">
      <c r="B29" s="8" t="inlineStr">
        <is>
          <t>good</t>
        </is>
      </c>
      <c r="D29" s="9" t="n">
        <v>5</v>
      </c>
      <c r="F29" s="10" t="n">
        <v>0.6</v>
      </c>
      <c r="G29" s="10" t="n">
        <v>0.5</v>
      </c>
      <c r="H29" s="10" t="n">
        <v>0.4</v>
      </c>
      <c r="I29" s="10" t="n">
        <v>0.3</v>
      </c>
    </row>
    <row r="31">
      <c r="B31" s="15" t="inlineStr">
        <is>
          <t>Sentence 2:</t>
        </is>
      </c>
    </row>
    <row r="32">
      <c r="B32" s="3" t="inlineStr">
        <is>
          <t>Word</t>
        </is>
      </c>
      <c r="D32" s="3" t="inlineStr">
        <is>
          <t>ID</t>
        </is>
      </c>
      <c r="F32" s="3" t="inlineStr">
        <is>
          <t>Embedding</t>
        </is>
      </c>
    </row>
    <row r="33">
      <c r="B33" s="8" t="inlineStr">
        <is>
          <t>this</t>
        </is>
      </c>
      <c r="D33" s="9" t="n">
        <v>1</v>
      </c>
      <c r="F33" s="10" t="n">
        <v>0.2</v>
      </c>
      <c r="G33" s="10" t="n">
        <v>0.1</v>
      </c>
      <c r="H33" s="10" t="n">
        <v>-0.1</v>
      </c>
      <c r="I33" s="10" t="n">
        <v>0.3</v>
      </c>
    </row>
    <row r="34">
      <c r="B34" s="8" t="inlineStr">
        <is>
          <t>film</t>
        </is>
      </c>
      <c r="D34" s="9" t="n">
        <v>7</v>
      </c>
      <c r="F34" s="10" t="n">
        <v>0.4</v>
      </c>
      <c r="G34" s="10" t="n">
        <v>0.2</v>
      </c>
      <c r="H34" s="10" t="n">
        <v>0.3</v>
      </c>
      <c r="I34" s="10" t="n">
        <v>-0.1</v>
      </c>
    </row>
    <row r="35">
      <c r="B35" s="8" t="inlineStr">
        <is>
          <t>is</t>
        </is>
      </c>
      <c r="D35" s="9" t="n">
        <v>3</v>
      </c>
      <c r="F35" s="10" t="n">
        <v>-0.1</v>
      </c>
      <c r="G35" s="10" t="n">
        <v>0.2</v>
      </c>
      <c r="H35" s="10" t="n">
        <v>0.1</v>
      </c>
      <c r="I35" s="10" t="n">
        <v>0.1</v>
      </c>
    </row>
    <row r="36">
      <c r="B36" s="8" t="inlineStr">
        <is>
          <t>bad</t>
        </is>
      </c>
      <c r="D36" s="9" t="n">
        <v>6</v>
      </c>
      <c r="F36" s="10" t="n">
        <v>-0.5</v>
      </c>
      <c r="G36" s="10" t="n">
        <v>-0.4</v>
      </c>
      <c r="H36" s="10" t="n">
        <v>-0.3</v>
      </c>
      <c r="I36" s="10" t="n">
        <v>-0.2</v>
      </c>
    </row>
  </sheetData>
  <mergeCells count="1">
    <mergeCell ref="B2:T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R2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2">
      <c r="B2" s="1" t="inlineStr">
        <is>
          <t>RNN Parameters</t>
        </is>
      </c>
    </row>
    <row r="5">
      <c r="B5" s="2" t="inlineStr">
        <is>
          <t>Wxh (3×4) - Embedding to Hidden</t>
        </is>
      </c>
      <c r="H5" s="2" t="inlineStr">
        <is>
          <t>bh (3)</t>
        </is>
      </c>
    </row>
    <row r="6">
      <c r="B6" s="8" t="n">
        <v>0.3</v>
      </c>
      <c r="C6" s="8" t="n">
        <v>-0.2</v>
      </c>
      <c r="D6" s="8" t="n">
        <v>0.1</v>
      </c>
      <c r="E6" s="8" t="n">
        <v>0.4</v>
      </c>
      <c r="H6" s="8" t="n">
        <v>0.1</v>
      </c>
    </row>
    <row r="7">
      <c r="B7" s="8" t="n">
        <v>-0.1</v>
      </c>
      <c r="C7" s="8" t="n">
        <v>0.4</v>
      </c>
      <c r="D7" s="8" t="n">
        <v>-0.3</v>
      </c>
      <c r="E7" s="8" t="n">
        <v>0.2</v>
      </c>
      <c r="H7" s="8" t="n">
        <v>-0.1</v>
      </c>
    </row>
    <row r="8">
      <c r="B8" s="8" t="n">
        <v>0.2</v>
      </c>
      <c r="C8" s="8" t="n">
        <v>0.1</v>
      </c>
      <c r="D8" s="8" t="n">
        <v>0.4</v>
      </c>
      <c r="E8" s="8" t="n">
        <v>-0.2</v>
      </c>
      <c r="H8" s="8" t="n">
        <v>0.05</v>
      </c>
    </row>
    <row r="11">
      <c r="B11" s="4" t="inlineStr">
        <is>
          <t>Whh (3×3) - Hidden to Hidden</t>
        </is>
      </c>
    </row>
    <row r="12">
      <c r="B12" s="9" t="n">
        <v>0.2</v>
      </c>
      <c r="C12" s="9" t="n">
        <v>-0.3</v>
      </c>
      <c r="D12" s="9" t="n">
        <v>0.1</v>
      </c>
    </row>
    <row r="13">
      <c r="B13" s="9" t="n">
        <v>0.4</v>
      </c>
      <c r="C13" s="9" t="n">
        <v>0.1</v>
      </c>
      <c r="D13" s="9" t="n">
        <v>-0.2</v>
      </c>
    </row>
    <row r="14">
      <c r="B14" s="9" t="n">
        <v>-0.1</v>
      </c>
      <c r="C14" s="9" t="n">
        <v>0.3</v>
      </c>
      <c r="D14" s="9" t="n">
        <v>0.2</v>
      </c>
    </row>
    <row r="17">
      <c r="B17" s="7" t="inlineStr">
        <is>
          <t>Why (1×3) - Hidden to Output</t>
        </is>
      </c>
      <c r="G17" s="7" t="inlineStr">
        <is>
          <t>by</t>
        </is>
      </c>
    </row>
    <row r="18">
      <c r="B18" s="12" t="n">
        <v>0.5</v>
      </c>
      <c r="C18" s="12" t="n">
        <v>-0.3</v>
      </c>
      <c r="D18" s="12" t="n">
        <v>0.4</v>
      </c>
      <c r="G18" s="12" t="n">
        <v>0.1</v>
      </c>
    </row>
    <row r="21">
      <c r="B21" s="1" t="inlineStr">
        <is>
          <t>Formulas:</t>
        </is>
      </c>
    </row>
    <row r="22">
      <c r="B22" s="3" t="inlineStr">
        <is>
          <t>h_t = tanh(Wxh·e_t + Whh·h_{t-1} + bh)</t>
        </is>
      </c>
    </row>
    <row r="23">
      <c r="B23" s="3" t="inlineStr">
        <is>
          <t>y = σ(Why·h_final + by)</t>
        </is>
      </c>
    </row>
  </sheetData>
  <mergeCells count="1">
    <mergeCell ref="B2:R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AH417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2">
      <c r="B2" s="4" t="inlineStr">
        <is>
          <t>Step 2: RNN Forward Propagation (Detailed Calculations)</t>
        </is>
      </c>
    </row>
    <row r="4">
      <c r="B4" s="1" t="inlineStr">
        <is>
          <t>═══ Parameters (Used in calculations below) ═══</t>
        </is>
      </c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8" t="n"/>
    </row>
    <row r="6">
      <c r="B6" s="2" t="inlineStr">
        <is>
          <t>Wxh (3×4):</t>
        </is>
      </c>
      <c r="H6" s="2" t="inlineStr">
        <is>
          <t>bh (3):</t>
        </is>
      </c>
    </row>
    <row r="7">
      <c r="C7" s="3" t="inlineStr">
        <is>
          <t>e[0]</t>
        </is>
      </c>
      <c r="D7" s="3" t="inlineStr">
        <is>
          <t>e[1]</t>
        </is>
      </c>
      <c r="E7" s="3" t="inlineStr">
        <is>
          <t>e[2]</t>
        </is>
      </c>
      <c r="F7" s="3" t="inlineStr">
        <is>
          <t>e[3]</t>
        </is>
      </c>
    </row>
    <row r="8">
      <c r="B8" s="3" t="inlineStr">
        <is>
          <t>h[0]</t>
        </is>
      </c>
      <c r="C8" s="8" t="n">
        <v>0.3</v>
      </c>
      <c r="D8" s="8" t="n">
        <v>-0.2</v>
      </c>
      <c r="E8" s="8" t="n">
        <v>0.1</v>
      </c>
      <c r="F8" s="8" t="n">
        <v>0.4</v>
      </c>
      <c r="H8" s="8" t="n">
        <v>0.1</v>
      </c>
    </row>
    <row r="9">
      <c r="B9" s="3" t="inlineStr">
        <is>
          <t>h[1]</t>
        </is>
      </c>
      <c r="C9" s="8" t="n">
        <v>-0.1</v>
      </c>
      <c r="D9" s="8" t="n">
        <v>0.4</v>
      </c>
      <c r="E9" s="8" t="n">
        <v>-0.3</v>
      </c>
      <c r="F9" s="8" t="n">
        <v>0.2</v>
      </c>
      <c r="H9" s="8" t="n">
        <v>-0.1</v>
      </c>
    </row>
    <row r="10">
      <c r="B10" s="3" t="inlineStr">
        <is>
          <t>h[2]</t>
        </is>
      </c>
      <c r="C10" s="8" t="n">
        <v>0.2</v>
      </c>
      <c r="D10" s="8" t="n">
        <v>0.1</v>
      </c>
      <c r="E10" s="8" t="n">
        <v>0.4</v>
      </c>
      <c r="F10" s="8" t="n">
        <v>-0.2</v>
      </c>
      <c r="H10" s="8" t="n">
        <v>0.05</v>
      </c>
    </row>
    <row r="12">
      <c r="B12" s="4" t="inlineStr">
        <is>
          <t>Whh (3×3):</t>
        </is>
      </c>
    </row>
    <row r="13">
      <c r="C13" s="3" t="inlineStr">
        <is>
          <t>h[0]</t>
        </is>
      </c>
      <c r="D13" s="3" t="inlineStr">
        <is>
          <t>h[1]</t>
        </is>
      </c>
      <c r="E13" s="3" t="inlineStr">
        <is>
          <t>h[2]</t>
        </is>
      </c>
    </row>
    <row r="14">
      <c r="B14" s="3" t="inlineStr">
        <is>
          <t>h[0]</t>
        </is>
      </c>
      <c r="C14" s="9" t="n">
        <v>0.2</v>
      </c>
      <c r="D14" s="9" t="n">
        <v>-0.3</v>
      </c>
      <c r="E14" s="9" t="n">
        <v>0.1</v>
      </c>
    </row>
    <row r="15">
      <c r="B15" s="3" t="inlineStr">
        <is>
          <t>h[1]</t>
        </is>
      </c>
      <c r="C15" s="9" t="n">
        <v>0.4</v>
      </c>
      <c r="D15" s="9" t="n">
        <v>0.1</v>
      </c>
      <c r="E15" s="9" t="n">
        <v>-0.2</v>
      </c>
    </row>
    <row r="16">
      <c r="B16" s="3" t="inlineStr">
        <is>
          <t>h[2]</t>
        </is>
      </c>
      <c r="C16" s="9" t="n">
        <v>-0.1</v>
      </c>
      <c r="D16" s="9" t="n">
        <v>0.3</v>
      </c>
      <c r="E16" s="9" t="n">
        <v>0.2</v>
      </c>
    </row>
    <row r="18">
      <c r="B18" s="7" t="inlineStr">
        <is>
          <t>Why (1×3):</t>
        </is>
      </c>
      <c r="G18" s="7" t="inlineStr">
        <is>
          <t>by:</t>
        </is>
      </c>
    </row>
    <row r="19">
      <c r="C19" s="3" t="inlineStr">
        <is>
          <t>h[0]</t>
        </is>
      </c>
      <c r="D19" s="3" t="inlineStr">
        <is>
          <t>h[1]</t>
        </is>
      </c>
      <c r="E19" s="3" t="inlineStr">
        <is>
          <t>h[2]</t>
        </is>
      </c>
    </row>
    <row r="20">
      <c r="C20" s="12" t="n">
        <v>0.5</v>
      </c>
      <c r="D20" s="12" t="n">
        <v>-0.3</v>
      </c>
      <c r="E20" s="12" t="n">
        <v>0.4</v>
      </c>
      <c r="G20" s="12" t="n">
        <v>0.1</v>
      </c>
    </row>
    <row r="22">
      <c r="B22" s="1" t="inlineStr">
        <is>
          <t>Formulas:</t>
        </is>
      </c>
    </row>
    <row r="23">
      <c r="B23" s="19" t="inlineStr">
        <is>
          <t>h_t = tanh(Wxh · e_t + Whh · h_{t-1} + bh)</t>
        </is>
      </c>
    </row>
    <row r="24">
      <c r="B24" s="19" t="inlineStr">
        <is>
          <t>y = sigmoid(Why · h_final + by)</t>
        </is>
      </c>
    </row>
    <row r="27">
      <c r="B27" s="13" t="inlineStr">
        <is>
          <t>═══ Sentence 1: "this movie is very good" (y_true=1) ═══</t>
        </is>
      </c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7" t="n"/>
      <c r="AA27" s="17" t="n"/>
      <c r="AB27" s="17" t="n"/>
      <c r="AC27" s="17" t="n"/>
      <c r="AD27" s="17" t="n"/>
      <c r="AE27" s="17" t="n"/>
      <c r="AF27" s="17" t="n"/>
      <c r="AG27" s="17" t="n"/>
      <c r="AH27" s="18" t="n"/>
    </row>
    <row r="29">
      <c r="B29" s="2" t="inlineStr">
        <is>
          <t>──── t=0: 'this' ────</t>
        </is>
      </c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8" t="n"/>
    </row>
    <row r="30">
      <c r="B30" s="5" t="inlineStr">
        <is>
          <t>e_t =</t>
        </is>
      </c>
      <c r="C30" s="20" t="inlineStr">
        <is>
          <t>[</t>
        </is>
      </c>
      <c r="D30" s="10" t="n">
        <v>0.2</v>
      </c>
      <c r="E30" s="10" t="n">
        <v>0.1</v>
      </c>
      <c r="F30" s="10" t="n">
        <v>-0.1</v>
      </c>
      <c r="G30" s="10" t="n">
        <v>0.3</v>
      </c>
      <c r="H30" s="20" t="inlineStr">
        <is>
          <t>]</t>
        </is>
      </c>
    </row>
    <row r="31">
      <c r="B31" s="1" t="inlineStr">
        <is>
          <t>h_{t-1} =</t>
        </is>
      </c>
      <c r="C31" s="20" t="inlineStr">
        <is>
          <t>[</t>
        </is>
      </c>
      <c r="D31" s="3" t="n">
        <v>0</v>
      </c>
      <c r="E31" s="3" t="n">
        <v>0</v>
      </c>
      <c r="F31" s="3" t="n">
        <v>0</v>
      </c>
      <c r="G31" s="20" t="inlineStr">
        <is>
          <t>]</t>
        </is>
      </c>
    </row>
    <row r="33">
      <c r="B33" s="2" t="inlineStr">
        <is>
          <t>① Wxh · e_t:</t>
        </is>
      </c>
    </row>
    <row r="34">
      <c r="B34" s="8" t="inlineStr">
        <is>
          <t xml:space="preserve">  Wxh =</t>
        </is>
      </c>
      <c r="D34" s="8" t="n">
        <v>0.3</v>
      </c>
      <c r="E34" s="8" t="n">
        <v>-0.2</v>
      </c>
      <c r="F34" s="8" t="n">
        <v>0.1</v>
      </c>
      <c r="G34" s="8" t="n">
        <v>0.4</v>
      </c>
      <c r="I34" s="20" t="inlineStr">
        <is>
          <t>×</t>
        </is>
      </c>
      <c r="J34" s="10" t="inlineStr">
        <is>
          <t>e_t =</t>
        </is>
      </c>
      <c r="K34" s="10" t="n">
        <v>0.2</v>
      </c>
    </row>
    <row r="35">
      <c r="D35" s="8" t="n">
        <v>-0.1</v>
      </c>
      <c r="E35" s="8" t="n">
        <v>0.4</v>
      </c>
      <c r="F35" s="8" t="n">
        <v>-0.3</v>
      </c>
      <c r="G35" s="8" t="n">
        <v>0.2</v>
      </c>
      <c r="K35" s="10" t="n">
        <v>0.1</v>
      </c>
    </row>
    <row r="36">
      <c r="D36" s="8" t="n">
        <v>0.2</v>
      </c>
      <c r="E36" s="8" t="n">
        <v>0.1</v>
      </c>
      <c r="F36" s="8" t="n">
        <v>0.4</v>
      </c>
      <c r="G36" s="8" t="n">
        <v>-0.2</v>
      </c>
      <c r="K36" s="10" t="n">
        <v>-0.1</v>
      </c>
    </row>
    <row r="37">
      <c r="K37" s="10" t="n">
        <v>0.3</v>
      </c>
    </row>
    <row r="38">
      <c r="B38" s="8" t="inlineStr">
        <is>
          <t xml:space="preserve">  Calculation:</t>
        </is>
      </c>
    </row>
    <row r="39">
      <c r="B39" s="8" t="inlineStr">
        <is>
          <t xml:space="preserve">  h[0]</t>
        </is>
      </c>
      <c r="C39">
        <f> (0.3×0.2) + (-0.2×0.1) + (0.1×-0.1) + (0.4×0.3)</f>
        <v/>
      </c>
      <c r="P39" s="8">
        <f> 0.15</f>
        <v/>
      </c>
    </row>
    <row r="40">
      <c r="B40" s="8" t="inlineStr">
        <is>
          <t xml:space="preserve">  h[1]</t>
        </is>
      </c>
      <c r="C40">
        <f> (-0.1×0.2) + (0.4×0.1) + (-0.3×-0.1) + (0.2×0.3)</f>
        <v/>
      </c>
      <c r="P40" s="8">
        <f> 0.11</f>
        <v/>
      </c>
    </row>
    <row r="41">
      <c r="B41" s="8" t="inlineStr">
        <is>
          <t xml:space="preserve">  h[2]</t>
        </is>
      </c>
      <c r="C41">
        <f> (0.2×0.2) + (0.1×0.1) + (0.4×-0.1) + (-0.2×0.3)</f>
        <v/>
      </c>
      <c r="P41" s="8">
        <f> -0.05</f>
        <v/>
      </c>
    </row>
    <row r="43">
      <c r="B43" s="4" t="inlineStr">
        <is>
          <t>② Whh · h_{t-1}:</t>
        </is>
      </c>
    </row>
    <row r="44">
      <c r="B44" s="9" t="inlineStr">
        <is>
          <t xml:space="preserve">  Whh =</t>
        </is>
      </c>
      <c r="D44" s="9" t="n">
        <v>0.2</v>
      </c>
      <c r="E44" s="9" t="n">
        <v>-0.3</v>
      </c>
      <c r="F44" s="9" t="n">
        <v>0.1</v>
      </c>
      <c r="H44" s="20" t="inlineStr">
        <is>
          <t>×</t>
        </is>
      </c>
      <c r="I44" s="3" t="inlineStr">
        <is>
          <t>h_{t-1} =</t>
        </is>
      </c>
      <c r="K44" s="3" t="n">
        <v>0</v>
      </c>
    </row>
    <row r="45">
      <c r="D45" s="9" t="n">
        <v>0.4</v>
      </c>
      <c r="E45" s="9" t="n">
        <v>0.1</v>
      </c>
      <c r="F45" s="9" t="n">
        <v>-0.2</v>
      </c>
      <c r="K45" s="3" t="n">
        <v>0</v>
      </c>
    </row>
    <row r="46">
      <c r="D46" s="9" t="n">
        <v>-0.1</v>
      </c>
      <c r="E46" s="9" t="n">
        <v>0.3</v>
      </c>
      <c r="F46" s="9" t="n">
        <v>0.2</v>
      </c>
      <c r="K46" s="3" t="n">
        <v>0</v>
      </c>
    </row>
    <row r="47">
      <c r="B47" s="9" t="inlineStr">
        <is>
          <t xml:space="preserve">  Calculation:</t>
        </is>
      </c>
    </row>
    <row r="48">
      <c r="B48" s="9" t="inlineStr">
        <is>
          <t xml:space="preserve">  h[0]</t>
        </is>
      </c>
      <c r="C48">
        <f> (0.2×0.0) + (-0.3×0.0) + (0.1×0.0)</f>
        <v/>
      </c>
      <c r="P48" s="9">
        <f> 0.0</f>
        <v/>
      </c>
    </row>
    <row r="49">
      <c r="B49" s="9" t="inlineStr">
        <is>
          <t xml:space="preserve">  h[1]</t>
        </is>
      </c>
      <c r="C49">
        <f> (0.4×0.0) + (0.1×0.0) + (-0.2×0.0)</f>
        <v/>
      </c>
      <c r="P49" s="9">
        <f> 0.0</f>
        <v/>
      </c>
    </row>
    <row r="50">
      <c r="B50" s="9" t="inlineStr">
        <is>
          <t xml:space="preserve">  h[2]</t>
        </is>
      </c>
      <c r="C50">
        <f> (-0.1×0.0) + (0.3×0.0) + (0.2×0.0)</f>
        <v/>
      </c>
      <c r="P50" s="9">
        <f> 0.0</f>
        <v/>
      </c>
    </row>
    <row r="52">
      <c r="B52" s="6" t="inlineStr">
        <is>
          <t>③ z_h = ① + ② + bh:</t>
        </is>
      </c>
    </row>
    <row r="53">
      <c r="B53" s="8" t="inlineStr">
        <is>
          <t xml:space="preserve">  bh =</t>
        </is>
      </c>
      <c r="C53" s="20" t="inlineStr">
        <is>
          <t>[</t>
        </is>
      </c>
      <c r="D53" s="8" t="n">
        <v>0.1</v>
      </c>
      <c r="E53" s="8" t="n">
        <v>-0.1</v>
      </c>
      <c r="F53" s="8" t="n">
        <v>0.05</v>
      </c>
      <c r="G53" s="20" t="inlineStr">
        <is>
          <t>]</t>
        </is>
      </c>
    </row>
    <row r="54">
      <c r="B54" s="11" t="inlineStr">
        <is>
          <t xml:space="preserve">  Calculation:</t>
        </is>
      </c>
    </row>
    <row r="55">
      <c r="B55" s="11" t="inlineStr">
        <is>
          <t xml:space="preserve">  z_h[0]</t>
        </is>
      </c>
      <c r="C55">
        <f> 0.15 + 0.0 + 0.1</f>
        <v/>
      </c>
      <c r="P55" s="11">
        <f> 0.25</f>
        <v/>
      </c>
    </row>
    <row r="56">
      <c r="B56" s="11" t="inlineStr">
        <is>
          <t xml:space="preserve">  z_h[1]</t>
        </is>
      </c>
      <c r="C56">
        <f> 0.11 + 0.0 + -0.1</f>
        <v/>
      </c>
      <c r="P56" s="11">
        <f> 0.01</f>
        <v/>
      </c>
    </row>
    <row r="57">
      <c r="B57" s="11" t="inlineStr">
        <is>
          <t xml:space="preserve">  z_h[2]</t>
        </is>
      </c>
      <c r="C57">
        <f> -0.05 + 0.0 + 0.05</f>
        <v/>
      </c>
      <c r="P57" s="11">
        <f> 0.0</f>
        <v/>
      </c>
    </row>
    <row r="59">
      <c r="B59" s="4" t="inlineStr">
        <is>
          <t>④ h_t = tanh(z_h):</t>
        </is>
      </c>
    </row>
    <row r="60">
      <c r="B60" s="9" t="inlineStr">
        <is>
          <t xml:space="preserve">  h_t[0]</t>
        </is>
      </c>
      <c r="C60">
        <f> tanh(0.25)</f>
        <v/>
      </c>
      <c r="P60" s="9">
        <f> 0.2449</f>
        <v/>
      </c>
    </row>
    <row r="61">
      <c r="B61" s="9" t="inlineStr">
        <is>
          <t xml:space="preserve">  h_t[1]</t>
        </is>
      </c>
      <c r="C61">
        <f> tanh(0.01)</f>
        <v/>
      </c>
      <c r="P61" s="9">
        <f> 0.01</f>
        <v/>
      </c>
    </row>
    <row r="62">
      <c r="B62" s="9" t="inlineStr">
        <is>
          <t xml:space="preserve">  h_t[2]</t>
        </is>
      </c>
      <c r="C62">
        <f> tanh(0.0)</f>
        <v/>
      </c>
      <c r="P62" s="9">
        <f> 0.0</f>
        <v/>
      </c>
    </row>
    <row r="64">
      <c r="B64" s="4" t="inlineStr">
        <is>
          <t>→ h_t =</t>
        </is>
      </c>
      <c r="C64" s="20" t="inlineStr">
        <is>
          <t>[</t>
        </is>
      </c>
      <c r="D64" s="9" t="n">
        <v>0.2449</v>
      </c>
      <c r="E64" s="9" t="n">
        <v>0.01</v>
      </c>
      <c r="F64" s="9" t="n">
        <v>0</v>
      </c>
      <c r="G64" s="20" t="inlineStr">
        <is>
          <t>]</t>
        </is>
      </c>
    </row>
    <row r="67">
      <c r="B67" s="2" t="inlineStr">
        <is>
          <t>──── t=1: 'movie' ────</t>
        </is>
      </c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  <c r="L67" s="18" t="n"/>
    </row>
    <row r="68">
      <c r="B68" s="5" t="inlineStr">
        <is>
          <t>e_t =</t>
        </is>
      </c>
      <c r="C68" s="20" t="inlineStr">
        <is>
          <t>[</t>
        </is>
      </c>
      <c r="D68" s="10" t="n">
        <v>0.5</v>
      </c>
      <c r="E68" s="10" t="n">
        <v>0.3</v>
      </c>
      <c r="F68" s="10" t="n">
        <v>0.2</v>
      </c>
      <c r="G68" s="10" t="n">
        <v>-0.1</v>
      </c>
      <c r="H68" s="20" t="inlineStr">
        <is>
          <t>]</t>
        </is>
      </c>
    </row>
    <row r="69">
      <c r="B69" s="1" t="inlineStr">
        <is>
          <t>h_{t-1} =</t>
        </is>
      </c>
      <c r="C69" s="20" t="inlineStr">
        <is>
          <t>[</t>
        </is>
      </c>
      <c r="D69" s="3" t="n">
        <v>0.2449</v>
      </c>
      <c r="E69" s="3" t="n">
        <v>0.01</v>
      </c>
      <c r="F69" s="3" t="n">
        <v>0</v>
      </c>
      <c r="G69" s="20" t="inlineStr">
        <is>
          <t>]</t>
        </is>
      </c>
    </row>
    <row r="71">
      <c r="B71" s="2" t="inlineStr">
        <is>
          <t>① Wxh · e_t:</t>
        </is>
      </c>
    </row>
    <row r="72">
      <c r="B72" s="8" t="inlineStr">
        <is>
          <t xml:space="preserve">  Wxh =</t>
        </is>
      </c>
      <c r="D72" s="8" t="n">
        <v>0.3</v>
      </c>
      <c r="E72" s="8" t="n">
        <v>-0.2</v>
      </c>
      <c r="F72" s="8" t="n">
        <v>0.1</v>
      </c>
      <c r="G72" s="8" t="n">
        <v>0.4</v>
      </c>
      <c r="I72" s="20" t="inlineStr">
        <is>
          <t>×</t>
        </is>
      </c>
      <c r="J72" s="10" t="inlineStr">
        <is>
          <t>e_t =</t>
        </is>
      </c>
      <c r="K72" s="10" t="n">
        <v>0.5</v>
      </c>
    </row>
    <row r="73">
      <c r="D73" s="8" t="n">
        <v>-0.1</v>
      </c>
      <c r="E73" s="8" t="n">
        <v>0.4</v>
      </c>
      <c r="F73" s="8" t="n">
        <v>-0.3</v>
      </c>
      <c r="G73" s="8" t="n">
        <v>0.2</v>
      </c>
      <c r="K73" s="10" t="n">
        <v>0.3</v>
      </c>
    </row>
    <row r="74">
      <c r="D74" s="8" t="n">
        <v>0.2</v>
      </c>
      <c r="E74" s="8" t="n">
        <v>0.1</v>
      </c>
      <c r="F74" s="8" t="n">
        <v>0.4</v>
      </c>
      <c r="G74" s="8" t="n">
        <v>-0.2</v>
      </c>
      <c r="K74" s="10" t="n">
        <v>0.2</v>
      </c>
    </row>
    <row r="75">
      <c r="K75" s="10" t="n">
        <v>-0.1</v>
      </c>
    </row>
    <row r="76">
      <c r="B76" s="8" t="inlineStr">
        <is>
          <t xml:space="preserve">  Calculation:</t>
        </is>
      </c>
    </row>
    <row r="77">
      <c r="B77" s="8" t="inlineStr">
        <is>
          <t xml:space="preserve">  h[0]</t>
        </is>
      </c>
      <c r="C77">
        <f> (0.3×0.5) + (-0.2×0.3) + (0.1×0.2) + (0.4×-0.1)</f>
        <v/>
      </c>
      <c r="P77" s="8">
        <f> 0.07</f>
        <v/>
      </c>
    </row>
    <row r="78">
      <c r="B78" s="8" t="inlineStr">
        <is>
          <t xml:space="preserve">  h[1]</t>
        </is>
      </c>
      <c r="C78">
        <f> (-0.1×0.5) + (0.4×0.3) + (-0.3×0.2) + (0.2×-0.1)</f>
        <v/>
      </c>
      <c r="P78" s="8">
        <f> -0.01</f>
        <v/>
      </c>
    </row>
    <row r="79">
      <c r="B79" s="8" t="inlineStr">
        <is>
          <t xml:space="preserve">  h[2]</t>
        </is>
      </c>
      <c r="C79">
        <f> (0.2×0.5) + (0.1×0.3) + (0.4×0.2) + (-0.2×-0.1)</f>
        <v/>
      </c>
      <c r="P79" s="8">
        <f> 0.23</f>
        <v/>
      </c>
    </row>
    <row r="81">
      <c r="B81" s="4" t="inlineStr">
        <is>
          <t>② Whh · h_{t-1}:</t>
        </is>
      </c>
    </row>
    <row r="82">
      <c r="B82" s="9" t="inlineStr">
        <is>
          <t xml:space="preserve">  Whh =</t>
        </is>
      </c>
      <c r="D82" s="9" t="n">
        <v>0.2</v>
      </c>
      <c r="E82" s="9" t="n">
        <v>-0.3</v>
      </c>
      <c r="F82" s="9" t="n">
        <v>0.1</v>
      </c>
      <c r="H82" s="20" t="inlineStr">
        <is>
          <t>×</t>
        </is>
      </c>
      <c r="I82" s="3" t="inlineStr">
        <is>
          <t>h_{t-1} =</t>
        </is>
      </c>
      <c r="K82" s="3" t="n">
        <v>0.2449</v>
      </c>
    </row>
    <row r="83">
      <c r="D83" s="9" t="n">
        <v>0.4</v>
      </c>
      <c r="E83" s="9" t="n">
        <v>0.1</v>
      </c>
      <c r="F83" s="9" t="n">
        <v>-0.2</v>
      </c>
      <c r="K83" s="3" t="n">
        <v>0.01</v>
      </c>
    </row>
    <row r="84">
      <c r="D84" s="9" t="n">
        <v>-0.1</v>
      </c>
      <c r="E84" s="9" t="n">
        <v>0.3</v>
      </c>
      <c r="F84" s="9" t="n">
        <v>0.2</v>
      </c>
      <c r="K84" s="3" t="n">
        <v>0</v>
      </c>
    </row>
    <row r="85">
      <c r="B85" s="9" t="inlineStr">
        <is>
          <t xml:space="preserve">  Calculation:</t>
        </is>
      </c>
    </row>
    <row r="86">
      <c r="B86" s="9" t="inlineStr">
        <is>
          <t xml:space="preserve">  h[0]</t>
        </is>
      </c>
      <c r="C86">
        <f> (0.2×0.2449) + (-0.3×0.01) + (0.1×0.0)</f>
        <v/>
      </c>
      <c r="P86" s="9">
        <f> 0.046</f>
        <v/>
      </c>
    </row>
    <row r="87">
      <c r="B87" s="9" t="inlineStr">
        <is>
          <t xml:space="preserve">  h[1]</t>
        </is>
      </c>
      <c r="C87">
        <f> (0.4×0.2449) + (0.1×0.01) + (-0.2×0.0)</f>
        <v/>
      </c>
      <c r="P87" s="9">
        <f> 0.099</f>
        <v/>
      </c>
    </row>
    <row r="88">
      <c r="B88" s="9" t="inlineStr">
        <is>
          <t xml:space="preserve">  h[2]</t>
        </is>
      </c>
      <c r="C88">
        <f> (-0.1×0.2449) + (0.3×0.01) + (0.2×0.0)</f>
        <v/>
      </c>
      <c r="P88" s="9">
        <f> -0.0215</f>
        <v/>
      </c>
    </row>
    <row r="90">
      <c r="B90" s="6" t="inlineStr">
        <is>
          <t>③ z_h = ① + ② + bh:</t>
        </is>
      </c>
    </row>
    <row r="91">
      <c r="B91" s="8" t="inlineStr">
        <is>
          <t xml:space="preserve">  bh =</t>
        </is>
      </c>
      <c r="C91" s="20" t="inlineStr">
        <is>
          <t>[</t>
        </is>
      </c>
      <c r="D91" s="8" t="n">
        <v>0.1</v>
      </c>
      <c r="E91" s="8" t="n">
        <v>-0.1</v>
      </c>
      <c r="F91" s="8" t="n">
        <v>0.05</v>
      </c>
      <c r="G91" s="20" t="inlineStr">
        <is>
          <t>]</t>
        </is>
      </c>
    </row>
    <row r="92">
      <c r="B92" s="11" t="inlineStr">
        <is>
          <t xml:space="preserve">  Calculation:</t>
        </is>
      </c>
    </row>
    <row r="93">
      <c r="B93" s="11" t="inlineStr">
        <is>
          <t xml:space="preserve">  z_h[0]</t>
        </is>
      </c>
      <c r="C93">
        <f> 0.07 + 0.046 + 0.1</f>
        <v/>
      </c>
      <c r="P93" s="11">
        <f> 0.216</f>
        <v/>
      </c>
    </row>
    <row r="94">
      <c r="B94" s="11" t="inlineStr">
        <is>
          <t xml:space="preserve">  z_h[1]</t>
        </is>
      </c>
      <c r="C94">
        <f> -0.01 + 0.099 + -0.1</f>
        <v/>
      </c>
      <c r="P94" s="11">
        <f> -0.011</f>
        <v/>
      </c>
    </row>
    <row r="95">
      <c r="B95" s="11" t="inlineStr">
        <is>
          <t xml:space="preserve">  z_h[2]</t>
        </is>
      </c>
      <c r="C95">
        <f> 0.23 + -0.0215 + 0.05</f>
        <v/>
      </c>
      <c r="P95" s="11">
        <f> 0.2585</f>
        <v/>
      </c>
    </row>
    <row r="97">
      <c r="B97" s="4" t="inlineStr">
        <is>
          <t>④ h_t = tanh(z_h):</t>
        </is>
      </c>
    </row>
    <row r="98">
      <c r="B98" s="9" t="inlineStr">
        <is>
          <t xml:space="preserve">  h_t[0]</t>
        </is>
      </c>
      <c r="C98">
        <f> tanh(0.216)</f>
        <v/>
      </c>
      <c r="P98" s="9">
        <f> 0.2127</f>
        <v/>
      </c>
    </row>
    <row r="99">
      <c r="B99" s="9" t="inlineStr">
        <is>
          <t xml:space="preserve">  h_t[1]</t>
        </is>
      </c>
      <c r="C99">
        <f> tanh(-0.011)</f>
        <v/>
      </c>
      <c r="P99" s="9">
        <f> -0.011</f>
        <v/>
      </c>
    </row>
    <row r="100">
      <c r="B100" s="9" t="inlineStr">
        <is>
          <t xml:space="preserve">  h_t[2]</t>
        </is>
      </c>
      <c r="C100">
        <f> tanh(0.2585)</f>
        <v/>
      </c>
      <c r="P100" s="9">
        <f> 0.2529</f>
        <v/>
      </c>
    </row>
    <row r="102">
      <c r="B102" s="4" t="inlineStr">
        <is>
          <t>→ h_t =</t>
        </is>
      </c>
      <c r="C102" s="20" t="inlineStr">
        <is>
          <t>[</t>
        </is>
      </c>
      <c r="D102" s="9" t="n">
        <v>0.2127</v>
      </c>
      <c r="E102" s="9" t="n">
        <v>-0.011</v>
      </c>
      <c r="F102" s="9" t="n">
        <v>0.2529</v>
      </c>
      <c r="G102" s="20" t="inlineStr">
        <is>
          <t>]</t>
        </is>
      </c>
    </row>
    <row r="105">
      <c r="B105" s="2" t="inlineStr">
        <is>
          <t>──── t=2: 'is' ────</t>
        </is>
      </c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8" t="n"/>
    </row>
    <row r="106">
      <c r="B106" s="5" t="inlineStr">
        <is>
          <t>e_t =</t>
        </is>
      </c>
      <c r="C106" s="20" t="inlineStr">
        <is>
          <t>[</t>
        </is>
      </c>
      <c r="D106" s="10" t="n">
        <v>-0.1</v>
      </c>
      <c r="E106" s="10" t="n">
        <v>0.2</v>
      </c>
      <c r="F106" s="10" t="n">
        <v>0.1</v>
      </c>
      <c r="G106" s="10" t="n">
        <v>0.1</v>
      </c>
      <c r="H106" s="20" t="inlineStr">
        <is>
          <t>]</t>
        </is>
      </c>
    </row>
    <row r="107">
      <c r="B107" s="1" t="inlineStr">
        <is>
          <t>h_{t-1} =</t>
        </is>
      </c>
      <c r="C107" s="20" t="inlineStr">
        <is>
          <t>[</t>
        </is>
      </c>
      <c r="D107" s="3" t="n">
        <v>0.2127</v>
      </c>
      <c r="E107" s="3" t="n">
        <v>-0.011</v>
      </c>
      <c r="F107" s="3" t="n">
        <v>0.2529</v>
      </c>
      <c r="G107" s="20" t="inlineStr">
        <is>
          <t>]</t>
        </is>
      </c>
    </row>
    <row r="109">
      <c r="B109" s="2" t="inlineStr">
        <is>
          <t>① Wxh · e_t:</t>
        </is>
      </c>
    </row>
    <row r="110">
      <c r="B110" s="8" t="inlineStr">
        <is>
          <t xml:space="preserve">  Wxh =</t>
        </is>
      </c>
      <c r="D110" s="8" t="n">
        <v>0.3</v>
      </c>
      <c r="E110" s="8" t="n">
        <v>-0.2</v>
      </c>
      <c r="F110" s="8" t="n">
        <v>0.1</v>
      </c>
      <c r="G110" s="8" t="n">
        <v>0.4</v>
      </c>
      <c r="I110" s="20" t="inlineStr">
        <is>
          <t>×</t>
        </is>
      </c>
      <c r="J110" s="10" t="inlineStr">
        <is>
          <t>e_t =</t>
        </is>
      </c>
      <c r="K110" s="10" t="n">
        <v>-0.1</v>
      </c>
    </row>
    <row r="111">
      <c r="D111" s="8" t="n">
        <v>-0.1</v>
      </c>
      <c r="E111" s="8" t="n">
        <v>0.4</v>
      </c>
      <c r="F111" s="8" t="n">
        <v>-0.3</v>
      </c>
      <c r="G111" s="8" t="n">
        <v>0.2</v>
      </c>
      <c r="K111" s="10" t="n">
        <v>0.2</v>
      </c>
    </row>
    <row r="112">
      <c r="D112" s="8" t="n">
        <v>0.2</v>
      </c>
      <c r="E112" s="8" t="n">
        <v>0.1</v>
      </c>
      <c r="F112" s="8" t="n">
        <v>0.4</v>
      </c>
      <c r="G112" s="8" t="n">
        <v>-0.2</v>
      </c>
      <c r="K112" s="10" t="n">
        <v>0.1</v>
      </c>
    </row>
    <row r="113">
      <c r="K113" s="10" t="n">
        <v>0.1</v>
      </c>
    </row>
    <row r="114">
      <c r="B114" s="8" t="inlineStr">
        <is>
          <t xml:space="preserve">  Calculation:</t>
        </is>
      </c>
    </row>
    <row r="115">
      <c r="B115" s="8" t="inlineStr">
        <is>
          <t xml:space="preserve">  h[0]</t>
        </is>
      </c>
      <c r="C115">
        <f> (0.3×-0.1) + (-0.2×0.2) + (0.1×0.1) + (0.4×0.1)</f>
        <v/>
      </c>
      <c r="P115" s="8">
        <f> -0.02</f>
        <v/>
      </c>
    </row>
    <row r="116">
      <c r="B116" s="8" t="inlineStr">
        <is>
          <t xml:space="preserve">  h[1]</t>
        </is>
      </c>
      <c r="C116">
        <f> (-0.1×-0.1) + (0.4×0.2) + (-0.3×0.1) + (0.2×0.1)</f>
        <v/>
      </c>
      <c r="P116" s="8">
        <f> 0.08</f>
        <v/>
      </c>
    </row>
    <row r="117">
      <c r="B117" s="8" t="inlineStr">
        <is>
          <t xml:space="preserve">  h[2]</t>
        </is>
      </c>
      <c r="C117">
        <f> (0.2×-0.1) + (0.1×0.2) + (0.4×0.1) + (-0.2×0.1)</f>
        <v/>
      </c>
      <c r="P117" s="8">
        <f> 0.02</f>
        <v/>
      </c>
    </row>
    <row r="119">
      <c r="B119" s="4" t="inlineStr">
        <is>
          <t>② Whh · h_{t-1}:</t>
        </is>
      </c>
    </row>
    <row r="120">
      <c r="B120" s="9" t="inlineStr">
        <is>
          <t xml:space="preserve">  Whh =</t>
        </is>
      </c>
      <c r="D120" s="9" t="n">
        <v>0.2</v>
      </c>
      <c r="E120" s="9" t="n">
        <v>-0.3</v>
      </c>
      <c r="F120" s="9" t="n">
        <v>0.1</v>
      </c>
      <c r="H120" s="20" t="inlineStr">
        <is>
          <t>×</t>
        </is>
      </c>
      <c r="I120" s="3" t="inlineStr">
        <is>
          <t>h_{t-1} =</t>
        </is>
      </c>
      <c r="K120" s="3" t="n">
        <v>0.2127</v>
      </c>
    </row>
    <row r="121">
      <c r="D121" s="9" t="n">
        <v>0.4</v>
      </c>
      <c r="E121" s="9" t="n">
        <v>0.1</v>
      </c>
      <c r="F121" s="9" t="n">
        <v>-0.2</v>
      </c>
      <c r="K121" s="3" t="n">
        <v>-0.011</v>
      </c>
    </row>
    <row r="122">
      <c r="D122" s="9" t="n">
        <v>-0.1</v>
      </c>
      <c r="E122" s="9" t="n">
        <v>0.3</v>
      </c>
      <c r="F122" s="9" t="n">
        <v>0.2</v>
      </c>
      <c r="K122" s="3" t="n">
        <v>0.2529</v>
      </c>
    </row>
    <row r="123">
      <c r="B123" s="9" t="inlineStr">
        <is>
          <t xml:space="preserve">  Calculation:</t>
        </is>
      </c>
    </row>
    <row r="124">
      <c r="B124" s="9" t="inlineStr">
        <is>
          <t xml:space="preserve">  h[0]</t>
        </is>
      </c>
      <c r="C124">
        <f> (0.2×0.2127) + (-0.3×-0.011) + (0.1×0.2529)</f>
        <v/>
      </c>
      <c r="P124" s="9">
        <f> 0.0711</f>
        <v/>
      </c>
    </row>
    <row r="125">
      <c r="B125" s="9" t="inlineStr">
        <is>
          <t xml:space="preserve">  h[1]</t>
        </is>
      </c>
      <c r="C125">
        <f> (0.4×0.2127) + (0.1×-0.011) + (-0.2×0.2529)</f>
        <v/>
      </c>
      <c r="P125" s="9">
        <f> 0.0334</f>
        <v/>
      </c>
    </row>
    <row r="126">
      <c r="B126" s="9" t="inlineStr">
        <is>
          <t xml:space="preserve">  h[2]</t>
        </is>
      </c>
      <c r="C126">
        <f> (-0.1×0.2127) + (0.3×-0.011) + (0.2×0.2529)</f>
        <v/>
      </c>
      <c r="P126" s="9">
        <f> 0.026</f>
        <v/>
      </c>
    </row>
    <row r="128">
      <c r="B128" s="6" t="inlineStr">
        <is>
          <t>③ z_h = ① + ② + bh:</t>
        </is>
      </c>
    </row>
    <row r="129">
      <c r="B129" s="8" t="inlineStr">
        <is>
          <t xml:space="preserve">  bh =</t>
        </is>
      </c>
      <c r="C129" s="20" t="inlineStr">
        <is>
          <t>[</t>
        </is>
      </c>
      <c r="D129" s="8" t="n">
        <v>0.1</v>
      </c>
      <c r="E129" s="8" t="n">
        <v>-0.1</v>
      </c>
      <c r="F129" s="8" t="n">
        <v>0.05</v>
      </c>
      <c r="G129" s="20" t="inlineStr">
        <is>
          <t>]</t>
        </is>
      </c>
    </row>
    <row r="130">
      <c r="B130" s="11" t="inlineStr">
        <is>
          <t xml:space="preserve">  Calculation:</t>
        </is>
      </c>
    </row>
    <row r="131">
      <c r="B131" s="11" t="inlineStr">
        <is>
          <t xml:space="preserve">  z_h[0]</t>
        </is>
      </c>
      <c r="C131">
        <f> -0.02 + 0.0711 + 0.1</f>
        <v/>
      </c>
      <c r="P131" s="11">
        <f> 0.1511</f>
        <v/>
      </c>
    </row>
    <row r="132">
      <c r="B132" s="11" t="inlineStr">
        <is>
          <t xml:space="preserve">  z_h[1]</t>
        </is>
      </c>
      <c r="C132">
        <f> 0.08 + 0.0334 + -0.1</f>
        <v/>
      </c>
      <c r="P132" s="11">
        <f> 0.0134</f>
        <v/>
      </c>
    </row>
    <row r="133">
      <c r="B133" s="11" t="inlineStr">
        <is>
          <t xml:space="preserve">  z_h[2]</t>
        </is>
      </c>
      <c r="C133">
        <f> 0.02 + 0.026 + 0.05</f>
        <v/>
      </c>
      <c r="P133" s="11">
        <f> 0.096</f>
        <v/>
      </c>
    </row>
    <row r="135">
      <c r="B135" s="4" t="inlineStr">
        <is>
          <t>④ h_t = tanh(z_h):</t>
        </is>
      </c>
    </row>
    <row r="136">
      <c r="B136" s="9" t="inlineStr">
        <is>
          <t xml:space="preserve">  h_t[0]</t>
        </is>
      </c>
      <c r="C136">
        <f> tanh(0.1511)</f>
        <v/>
      </c>
      <c r="P136" s="9">
        <f> 0.15</f>
        <v/>
      </c>
    </row>
    <row r="137">
      <c r="B137" s="9" t="inlineStr">
        <is>
          <t xml:space="preserve">  h_t[1]</t>
        </is>
      </c>
      <c r="C137">
        <f> tanh(0.0134)</f>
        <v/>
      </c>
      <c r="P137" s="9">
        <f> 0.0134</f>
        <v/>
      </c>
    </row>
    <row r="138">
      <c r="B138" s="9" t="inlineStr">
        <is>
          <t xml:space="preserve">  h_t[2]</t>
        </is>
      </c>
      <c r="C138">
        <f> tanh(0.096)</f>
        <v/>
      </c>
      <c r="P138" s="9">
        <f> 0.0957</f>
        <v/>
      </c>
    </row>
    <row r="140">
      <c r="B140" s="4" t="inlineStr">
        <is>
          <t>→ h_t =</t>
        </is>
      </c>
      <c r="C140" s="20" t="inlineStr">
        <is>
          <t>[</t>
        </is>
      </c>
      <c r="D140" s="9" t="n">
        <v>0.15</v>
      </c>
      <c r="E140" s="9" t="n">
        <v>0.0134</v>
      </c>
      <c r="F140" s="9" t="n">
        <v>0.09569999999999999</v>
      </c>
      <c r="G140" s="20" t="inlineStr">
        <is>
          <t>]</t>
        </is>
      </c>
    </row>
    <row r="143">
      <c r="B143" s="2" t="inlineStr">
        <is>
          <t>──── t=3: 'very' ────</t>
        </is>
      </c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8" t="n"/>
    </row>
    <row r="144">
      <c r="B144" s="5" t="inlineStr">
        <is>
          <t>e_t =</t>
        </is>
      </c>
      <c r="C144" s="20" t="inlineStr">
        <is>
          <t>[</t>
        </is>
      </c>
      <c r="D144" s="10" t="n">
        <v>0.3</v>
      </c>
      <c r="E144" s="10" t="n">
        <v>0.4</v>
      </c>
      <c r="F144" s="10" t="n">
        <v>-0.2</v>
      </c>
      <c r="G144" s="10" t="n">
        <v>0.2</v>
      </c>
      <c r="H144" s="20" t="inlineStr">
        <is>
          <t>]</t>
        </is>
      </c>
    </row>
    <row r="145">
      <c r="B145" s="1" t="inlineStr">
        <is>
          <t>h_{t-1} =</t>
        </is>
      </c>
      <c r="C145" s="20" t="inlineStr">
        <is>
          <t>[</t>
        </is>
      </c>
      <c r="D145" s="3" t="n">
        <v>0.15</v>
      </c>
      <c r="E145" s="3" t="n">
        <v>0.0134</v>
      </c>
      <c r="F145" s="3" t="n">
        <v>0.09569999999999999</v>
      </c>
      <c r="G145" s="20" t="inlineStr">
        <is>
          <t>]</t>
        </is>
      </c>
    </row>
    <row r="147">
      <c r="B147" s="2" t="inlineStr">
        <is>
          <t>① Wxh · e_t:</t>
        </is>
      </c>
    </row>
    <row r="148">
      <c r="B148" s="8" t="inlineStr">
        <is>
          <t xml:space="preserve">  Wxh =</t>
        </is>
      </c>
      <c r="D148" s="8" t="n">
        <v>0.3</v>
      </c>
      <c r="E148" s="8" t="n">
        <v>-0.2</v>
      </c>
      <c r="F148" s="8" t="n">
        <v>0.1</v>
      </c>
      <c r="G148" s="8" t="n">
        <v>0.4</v>
      </c>
      <c r="I148" s="20" t="inlineStr">
        <is>
          <t>×</t>
        </is>
      </c>
      <c r="J148" s="10" t="inlineStr">
        <is>
          <t>e_t =</t>
        </is>
      </c>
      <c r="K148" s="10" t="n">
        <v>0.3</v>
      </c>
    </row>
    <row r="149">
      <c r="D149" s="8" t="n">
        <v>-0.1</v>
      </c>
      <c r="E149" s="8" t="n">
        <v>0.4</v>
      </c>
      <c r="F149" s="8" t="n">
        <v>-0.3</v>
      </c>
      <c r="G149" s="8" t="n">
        <v>0.2</v>
      </c>
      <c r="K149" s="10" t="n">
        <v>0.4</v>
      </c>
    </row>
    <row r="150">
      <c r="D150" s="8" t="n">
        <v>0.2</v>
      </c>
      <c r="E150" s="8" t="n">
        <v>0.1</v>
      </c>
      <c r="F150" s="8" t="n">
        <v>0.4</v>
      </c>
      <c r="G150" s="8" t="n">
        <v>-0.2</v>
      </c>
      <c r="K150" s="10" t="n">
        <v>-0.2</v>
      </c>
    </row>
    <row r="151">
      <c r="K151" s="10" t="n">
        <v>0.2</v>
      </c>
    </row>
    <row r="152">
      <c r="B152" s="8" t="inlineStr">
        <is>
          <t xml:space="preserve">  Calculation:</t>
        </is>
      </c>
    </row>
    <row r="153">
      <c r="B153" s="8" t="inlineStr">
        <is>
          <t xml:space="preserve">  h[0]</t>
        </is>
      </c>
      <c r="C153">
        <f> (0.3×0.3) + (-0.2×0.4) + (0.1×-0.2) + (0.4×0.2)</f>
        <v/>
      </c>
      <c r="P153" s="8">
        <f> 0.07</f>
        <v/>
      </c>
    </row>
    <row r="154">
      <c r="B154" s="8" t="inlineStr">
        <is>
          <t xml:space="preserve">  h[1]</t>
        </is>
      </c>
      <c r="C154">
        <f> (-0.1×0.3) + (0.4×0.4) + (-0.3×-0.2) + (0.2×0.2)</f>
        <v/>
      </c>
      <c r="P154" s="8">
        <f> 0.23</f>
        <v/>
      </c>
    </row>
    <row r="155">
      <c r="B155" s="8" t="inlineStr">
        <is>
          <t xml:space="preserve">  h[2]</t>
        </is>
      </c>
      <c r="C155">
        <f> (0.2×0.3) + (0.1×0.4) + (0.4×-0.2) + (-0.2×0.2)</f>
        <v/>
      </c>
      <c r="P155" s="8">
        <f> -0.02</f>
        <v/>
      </c>
    </row>
    <row r="157">
      <c r="B157" s="4" t="inlineStr">
        <is>
          <t>② Whh · h_{t-1}:</t>
        </is>
      </c>
    </row>
    <row r="158">
      <c r="B158" s="9" t="inlineStr">
        <is>
          <t xml:space="preserve">  Whh =</t>
        </is>
      </c>
      <c r="D158" s="9" t="n">
        <v>0.2</v>
      </c>
      <c r="E158" s="9" t="n">
        <v>-0.3</v>
      </c>
      <c r="F158" s="9" t="n">
        <v>0.1</v>
      </c>
      <c r="H158" s="20" t="inlineStr">
        <is>
          <t>×</t>
        </is>
      </c>
      <c r="I158" s="3" t="inlineStr">
        <is>
          <t>h_{t-1} =</t>
        </is>
      </c>
      <c r="K158" s="3" t="n">
        <v>0.15</v>
      </c>
    </row>
    <row r="159">
      <c r="D159" s="9" t="n">
        <v>0.4</v>
      </c>
      <c r="E159" s="9" t="n">
        <v>0.1</v>
      </c>
      <c r="F159" s="9" t="n">
        <v>-0.2</v>
      </c>
      <c r="K159" s="3" t="n">
        <v>0.0134</v>
      </c>
    </row>
    <row r="160">
      <c r="D160" s="9" t="n">
        <v>-0.1</v>
      </c>
      <c r="E160" s="9" t="n">
        <v>0.3</v>
      </c>
      <c r="F160" s="9" t="n">
        <v>0.2</v>
      </c>
      <c r="K160" s="3" t="n">
        <v>0.09569999999999999</v>
      </c>
    </row>
    <row r="161">
      <c r="B161" s="9" t="inlineStr">
        <is>
          <t xml:space="preserve">  Calculation:</t>
        </is>
      </c>
    </row>
    <row r="162">
      <c r="B162" s="9" t="inlineStr">
        <is>
          <t xml:space="preserve">  h[0]</t>
        </is>
      </c>
      <c r="C162">
        <f> (0.2×0.15) + (-0.3×0.0134) + (0.1×0.0957)</f>
        <v/>
      </c>
      <c r="P162" s="9">
        <f> 0.0356</f>
        <v/>
      </c>
    </row>
    <row r="163">
      <c r="B163" s="9" t="inlineStr">
        <is>
          <t xml:space="preserve">  h[1]</t>
        </is>
      </c>
      <c r="C163">
        <f> (0.4×0.15) + (0.1×0.0134) + (-0.2×0.0957)</f>
        <v/>
      </c>
      <c r="P163" s="9">
        <f> 0.0422</f>
        <v/>
      </c>
    </row>
    <row r="164">
      <c r="B164" s="9" t="inlineStr">
        <is>
          <t xml:space="preserve">  h[2]</t>
        </is>
      </c>
      <c r="C164">
        <f> (-0.1×0.15) + (0.3×0.0134) + (0.2×0.0957)</f>
        <v/>
      </c>
      <c r="P164" s="9">
        <f> 0.0082</f>
        <v/>
      </c>
    </row>
    <row r="166">
      <c r="B166" s="6" t="inlineStr">
        <is>
          <t>③ z_h = ① + ② + bh:</t>
        </is>
      </c>
    </row>
    <row r="167">
      <c r="B167" s="8" t="inlineStr">
        <is>
          <t xml:space="preserve">  bh =</t>
        </is>
      </c>
      <c r="C167" s="20" t="inlineStr">
        <is>
          <t>[</t>
        </is>
      </c>
      <c r="D167" s="8" t="n">
        <v>0.1</v>
      </c>
      <c r="E167" s="8" t="n">
        <v>-0.1</v>
      </c>
      <c r="F167" s="8" t="n">
        <v>0.05</v>
      </c>
      <c r="G167" s="20" t="inlineStr">
        <is>
          <t>]</t>
        </is>
      </c>
    </row>
    <row r="168">
      <c r="B168" s="11" t="inlineStr">
        <is>
          <t xml:space="preserve">  Calculation:</t>
        </is>
      </c>
    </row>
    <row r="169">
      <c r="B169" s="11" t="inlineStr">
        <is>
          <t xml:space="preserve">  z_h[0]</t>
        </is>
      </c>
      <c r="C169">
        <f> 0.07 + 0.0356 + 0.1</f>
        <v/>
      </c>
      <c r="P169" s="11">
        <f> 0.2056</f>
        <v/>
      </c>
    </row>
    <row r="170">
      <c r="B170" s="11" t="inlineStr">
        <is>
          <t xml:space="preserve">  z_h[1]</t>
        </is>
      </c>
      <c r="C170">
        <f> 0.23 + 0.0422 + -0.1</f>
        <v/>
      </c>
      <c r="P170" s="11">
        <f> 0.1722</f>
        <v/>
      </c>
    </row>
    <row r="171">
      <c r="B171" s="11" t="inlineStr">
        <is>
          <t xml:space="preserve">  z_h[2]</t>
        </is>
      </c>
      <c r="C171">
        <f> -0.02 + 0.0082 + 0.05</f>
        <v/>
      </c>
      <c r="P171" s="11">
        <f> 0.0382</f>
        <v/>
      </c>
    </row>
    <row r="173">
      <c r="B173" s="4" t="inlineStr">
        <is>
          <t>④ h_t = tanh(z_h):</t>
        </is>
      </c>
    </row>
    <row r="174">
      <c r="B174" s="9" t="inlineStr">
        <is>
          <t xml:space="preserve">  h_t[0]</t>
        </is>
      </c>
      <c r="C174">
        <f> tanh(0.2056)</f>
        <v/>
      </c>
      <c r="P174" s="9">
        <f> 0.2027</f>
        <v/>
      </c>
    </row>
    <row r="175">
      <c r="B175" s="9" t="inlineStr">
        <is>
          <t xml:space="preserve">  h_t[1]</t>
        </is>
      </c>
      <c r="C175">
        <f> tanh(0.1722)</f>
        <v/>
      </c>
      <c r="P175" s="9">
        <f> 0.1705</f>
        <v/>
      </c>
    </row>
    <row r="176">
      <c r="B176" s="9" t="inlineStr">
        <is>
          <t xml:space="preserve">  h_t[2]</t>
        </is>
      </c>
      <c r="C176">
        <f> tanh(0.0382)</f>
        <v/>
      </c>
      <c r="P176" s="9">
        <f> 0.0381</f>
        <v/>
      </c>
    </row>
    <row r="178">
      <c r="B178" s="4" t="inlineStr">
        <is>
          <t>→ h_t =</t>
        </is>
      </c>
      <c r="C178" s="20" t="inlineStr">
        <is>
          <t>[</t>
        </is>
      </c>
      <c r="D178" s="9" t="n">
        <v>0.2027</v>
      </c>
      <c r="E178" s="9" t="n">
        <v>0.1705</v>
      </c>
      <c r="F178" s="9" t="n">
        <v>0.0381</v>
      </c>
      <c r="G178" s="20" t="inlineStr">
        <is>
          <t>]</t>
        </is>
      </c>
    </row>
    <row r="181">
      <c r="B181" s="2" t="inlineStr">
        <is>
          <t>──── t=4: 'good' ────</t>
        </is>
      </c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  <c r="L181" s="18" t="n"/>
    </row>
    <row r="182">
      <c r="B182" s="5" t="inlineStr">
        <is>
          <t>e_t =</t>
        </is>
      </c>
      <c r="C182" s="20" t="inlineStr">
        <is>
          <t>[</t>
        </is>
      </c>
      <c r="D182" s="10" t="n">
        <v>0.6</v>
      </c>
      <c r="E182" s="10" t="n">
        <v>0.5</v>
      </c>
      <c r="F182" s="10" t="n">
        <v>0.4</v>
      </c>
      <c r="G182" s="10" t="n">
        <v>0.3</v>
      </c>
      <c r="H182" s="20" t="inlineStr">
        <is>
          <t>]</t>
        </is>
      </c>
    </row>
    <row r="183">
      <c r="B183" s="1" t="inlineStr">
        <is>
          <t>h_{t-1} =</t>
        </is>
      </c>
      <c r="C183" s="20" t="inlineStr">
        <is>
          <t>[</t>
        </is>
      </c>
      <c r="D183" s="3" t="n">
        <v>0.2027</v>
      </c>
      <c r="E183" s="3" t="n">
        <v>0.1705</v>
      </c>
      <c r="F183" s="3" t="n">
        <v>0.0381</v>
      </c>
      <c r="G183" s="20" t="inlineStr">
        <is>
          <t>]</t>
        </is>
      </c>
    </row>
    <row r="185">
      <c r="B185" s="2" t="inlineStr">
        <is>
          <t>① Wxh · e_t:</t>
        </is>
      </c>
    </row>
    <row r="186">
      <c r="B186" s="8" t="inlineStr">
        <is>
          <t xml:space="preserve">  Wxh =</t>
        </is>
      </c>
      <c r="D186" s="8" t="n">
        <v>0.3</v>
      </c>
      <c r="E186" s="8" t="n">
        <v>-0.2</v>
      </c>
      <c r="F186" s="8" t="n">
        <v>0.1</v>
      </c>
      <c r="G186" s="8" t="n">
        <v>0.4</v>
      </c>
      <c r="I186" s="20" t="inlineStr">
        <is>
          <t>×</t>
        </is>
      </c>
      <c r="J186" s="10" t="inlineStr">
        <is>
          <t>e_t =</t>
        </is>
      </c>
      <c r="K186" s="10" t="n">
        <v>0.6</v>
      </c>
    </row>
    <row r="187">
      <c r="D187" s="8" t="n">
        <v>-0.1</v>
      </c>
      <c r="E187" s="8" t="n">
        <v>0.4</v>
      </c>
      <c r="F187" s="8" t="n">
        <v>-0.3</v>
      </c>
      <c r="G187" s="8" t="n">
        <v>0.2</v>
      </c>
      <c r="K187" s="10" t="n">
        <v>0.5</v>
      </c>
    </row>
    <row r="188">
      <c r="D188" s="8" t="n">
        <v>0.2</v>
      </c>
      <c r="E188" s="8" t="n">
        <v>0.1</v>
      </c>
      <c r="F188" s="8" t="n">
        <v>0.4</v>
      </c>
      <c r="G188" s="8" t="n">
        <v>-0.2</v>
      </c>
      <c r="K188" s="10" t="n">
        <v>0.4</v>
      </c>
    </row>
    <row r="189">
      <c r="K189" s="10" t="n">
        <v>0.3</v>
      </c>
    </row>
    <row r="190">
      <c r="B190" s="8" t="inlineStr">
        <is>
          <t xml:space="preserve">  Calculation:</t>
        </is>
      </c>
    </row>
    <row r="191">
      <c r="B191" s="8" t="inlineStr">
        <is>
          <t xml:space="preserve">  h[0]</t>
        </is>
      </c>
      <c r="C191">
        <f> (0.3×0.6) + (-0.2×0.5) + (0.1×0.4) + (0.4×0.3)</f>
        <v/>
      </c>
      <c r="P191" s="8">
        <f> 0.24</f>
        <v/>
      </c>
    </row>
    <row r="192">
      <c r="B192" s="8" t="inlineStr">
        <is>
          <t xml:space="preserve">  h[1]</t>
        </is>
      </c>
      <c r="C192">
        <f> (-0.1×0.6) + (0.4×0.5) + (-0.3×0.4) + (0.2×0.3)</f>
        <v/>
      </c>
      <c r="P192" s="8">
        <f> 0.08</f>
        <v/>
      </c>
    </row>
    <row r="193">
      <c r="B193" s="8" t="inlineStr">
        <is>
          <t xml:space="preserve">  h[2]</t>
        </is>
      </c>
      <c r="C193">
        <f> (0.2×0.6) + (0.1×0.5) + (0.4×0.4) + (-0.2×0.3)</f>
        <v/>
      </c>
      <c r="P193" s="8">
        <f> 0.27</f>
        <v/>
      </c>
    </row>
    <row r="195">
      <c r="B195" s="4" t="inlineStr">
        <is>
          <t>② Whh · h_{t-1}:</t>
        </is>
      </c>
    </row>
    <row r="196">
      <c r="B196" s="9" t="inlineStr">
        <is>
          <t xml:space="preserve">  Whh =</t>
        </is>
      </c>
      <c r="D196" s="9" t="n">
        <v>0.2</v>
      </c>
      <c r="E196" s="9" t="n">
        <v>-0.3</v>
      </c>
      <c r="F196" s="9" t="n">
        <v>0.1</v>
      </c>
      <c r="H196" s="20" t="inlineStr">
        <is>
          <t>×</t>
        </is>
      </c>
      <c r="I196" s="3" t="inlineStr">
        <is>
          <t>h_{t-1} =</t>
        </is>
      </c>
      <c r="K196" s="3" t="n">
        <v>0.2027</v>
      </c>
    </row>
    <row r="197">
      <c r="D197" s="9" t="n">
        <v>0.4</v>
      </c>
      <c r="E197" s="9" t="n">
        <v>0.1</v>
      </c>
      <c r="F197" s="9" t="n">
        <v>-0.2</v>
      </c>
      <c r="K197" s="3" t="n">
        <v>0.1705</v>
      </c>
    </row>
    <row r="198">
      <c r="D198" s="9" t="n">
        <v>-0.1</v>
      </c>
      <c r="E198" s="9" t="n">
        <v>0.3</v>
      </c>
      <c r="F198" s="9" t="n">
        <v>0.2</v>
      </c>
      <c r="K198" s="3" t="n">
        <v>0.0381</v>
      </c>
    </row>
    <row r="199">
      <c r="B199" s="9" t="inlineStr">
        <is>
          <t xml:space="preserve">  Calculation:</t>
        </is>
      </c>
    </row>
    <row r="200">
      <c r="B200" s="9" t="inlineStr">
        <is>
          <t xml:space="preserve">  h[0]</t>
        </is>
      </c>
      <c r="C200">
        <f> (0.2×0.2027) + (-0.3×0.1705) + (0.1×0.0381)</f>
        <v/>
      </c>
      <c r="P200" s="9">
        <f> -0.0068</f>
        <v/>
      </c>
    </row>
    <row r="201">
      <c r="B201" s="9" t="inlineStr">
        <is>
          <t xml:space="preserve">  h[1]</t>
        </is>
      </c>
      <c r="C201">
        <f> (0.4×0.2027) + (0.1×0.1705) + (-0.2×0.0381)</f>
        <v/>
      </c>
      <c r="P201" s="9">
        <f> 0.0905</f>
        <v/>
      </c>
    </row>
    <row r="202">
      <c r="B202" s="9" t="inlineStr">
        <is>
          <t xml:space="preserve">  h[2]</t>
        </is>
      </c>
      <c r="C202">
        <f> (-0.1×0.2027) + (0.3×0.1705) + (0.2×0.0381)</f>
        <v/>
      </c>
      <c r="P202" s="9">
        <f> 0.0385</f>
        <v/>
      </c>
    </row>
    <row r="204">
      <c r="B204" s="6" t="inlineStr">
        <is>
          <t>③ z_h = ① + ② + bh:</t>
        </is>
      </c>
    </row>
    <row r="205">
      <c r="B205" s="8" t="inlineStr">
        <is>
          <t xml:space="preserve">  bh =</t>
        </is>
      </c>
      <c r="C205" s="20" t="inlineStr">
        <is>
          <t>[</t>
        </is>
      </c>
      <c r="D205" s="8" t="n">
        <v>0.1</v>
      </c>
      <c r="E205" s="8" t="n">
        <v>-0.1</v>
      </c>
      <c r="F205" s="8" t="n">
        <v>0.05</v>
      </c>
      <c r="G205" s="20" t="inlineStr">
        <is>
          <t>]</t>
        </is>
      </c>
    </row>
    <row r="206">
      <c r="B206" s="11" t="inlineStr">
        <is>
          <t xml:space="preserve">  Calculation:</t>
        </is>
      </c>
    </row>
    <row r="207">
      <c r="B207" s="11" t="inlineStr">
        <is>
          <t xml:space="preserve">  z_h[0]</t>
        </is>
      </c>
      <c r="C207">
        <f> 0.24 + -0.0068 + 0.1</f>
        <v/>
      </c>
      <c r="P207" s="11">
        <f> 0.3332</f>
        <v/>
      </c>
    </row>
    <row r="208">
      <c r="B208" s="11" t="inlineStr">
        <is>
          <t xml:space="preserve">  z_h[1]</t>
        </is>
      </c>
      <c r="C208">
        <f> 0.08 + 0.0905 + -0.1</f>
        <v/>
      </c>
      <c r="P208" s="11">
        <f> 0.0705</f>
        <v/>
      </c>
    </row>
    <row r="209">
      <c r="B209" s="11" t="inlineStr">
        <is>
          <t xml:space="preserve">  z_h[2]</t>
        </is>
      </c>
      <c r="C209">
        <f> 0.27 + 0.0385 + 0.05</f>
        <v/>
      </c>
      <c r="P209" s="11">
        <f> 0.3585</f>
        <v/>
      </c>
    </row>
    <row r="211">
      <c r="B211" s="4" t="inlineStr">
        <is>
          <t>④ h_t = tanh(z_h):</t>
        </is>
      </c>
    </row>
    <row r="212">
      <c r="B212" s="9" t="inlineStr">
        <is>
          <t xml:space="preserve">  h_t[0]</t>
        </is>
      </c>
      <c r="C212">
        <f> tanh(0.3332)</f>
        <v/>
      </c>
      <c r="P212" s="9">
        <f> 0.3214</f>
        <v/>
      </c>
    </row>
    <row r="213">
      <c r="B213" s="9" t="inlineStr">
        <is>
          <t xml:space="preserve">  h_t[1]</t>
        </is>
      </c>
      <c r="C213">
        <f> tanh(0.0705)</f>
        <v/>
      </c>
      <c r="P213" s="9">
        <f> 0.0704</f>
        <v/>
      </c>
    </row>
    <row r="214">
      <c r="B214" s="9" t="inlineStr">
        <is>
          <t xml:space="preserve">  h_t[2]</t>
        </is>
      </c>
      <c r="C214">
        <f> tanh(0.3585)</f>
        <v/>
      </c>
      <c r="P214" s="9">
        <f> 0.3439</f>
        <v/>
      </c>
    </row>
    <row r="216">
      <c r="B216" s="4" t="inlineStr">
        <is>
          <t>→ h_t =</t>
        </is>
      </c>
      <c r="C216" s="20" t="inlineStr">
        <is>
          <t>[</t>
        </is>
      </c>
      <c r="D216" s="9" t="n">
        <v>0.3214</v>
      </c>
      <c r="E216" s="9" t="n">
        <v>0.0704</v>
      </c>
      <c r="F216" s="9" t="n">
        <v>0.3439</v>
      </c>
      <c r="G216" s="20" t="inlineStr">
        <is>
          <t>]</t>
        </is>
      </c>
    </row>
    <row r="219">
      <c r="B219" s="7" t="inlineStr">
        <is>
          <t>──── Output Calculation ────</t>
        </is>
      </c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  <c r="L219" s="18" t="n"/>
    </row>
    <row r="221">
      <c r="B221" s="4" t="inlineStr">
        <is>
          <t>h_final =</t>
        </is>
      </c>
      <c r="C221" s="20" t="inlineStr">
        <is>
          <t>[</t>
        </is>
      </c>
      <c r="D221" s="9" t="n">
        <v>0.3214</v>
      </c>
      <c r="E221" s="9" t="n">
        <v>0.0704</v>
      </c>
      <c r="F221" s="9" t="n">
        <v>0.3439</v>
      </c>
      <c r="G221" s="20" t="inlineStr">
        <is>
          <t>]</t>
        </is>
      </c>
    </row>
    <row r="223">
      <c r="B223" s="7" t="inlineStr">
        <is>
          <t>Why =</t>
        </is>
      </c>
      <c r="C223" s="20" t="inlineStr">
        <is>
          <t>[</t>
        </is>
      </c>
      <c r="D223" s="12" t="n">
        <v>0.5</v>
      </c>
      <c r="E223" s="12" t="n">
        <v>-0.3</v>
      </c>
      <c r="F223" s="12" t="n">
        <v>0.4</v>
      </c>
      <c r="G223" s="20" t="inlineStr">
        <is>
          <t>]</t>
        </is>
      </c>
      <c r="I223" s="7" t="inlineStr">
        <is>
          <t>by =</t>
        </is>
      </c>
      <c r="J223" s="12" t="n">
        <v>0.1</v>
      </c>
    </row>
    <row r="225">
      <c r="B225" s="7" t="inlineStr">
        <is>
          <t>⑤ z_y = Why · h_final + by:</t>
        </is>
      </c>
    </row>
    <row r="226">
      <c r="B226" t="inlineStr">
        <is>
          <t xml:space="preserve">  = (0.5×0.3214) + (-0.3×0.0704) + (0.4×0.3439) + 0.1</t>
        </is>
      </c>
    </row>
    <row r="227">
      <c r="B227" s="12" t="inlineStr">
        <is>
          <t xml:space="preserve">  = 0.3771</t>
        </is>
      </c>
    </row>
    <row r="229">
      <c r="B229" s="7" t="inlineStr">
        <is>
          <t>⑥ y_pred = sigmoid(z_y):</t>
        </is>
      </c>
    </row>
    <row r="230">
      <c r="B230" t="inlineStr">
        <is>
          <t xml:space="preserve">  = sigmoid(0.3771)</t>
        </is>
      </c>
    </row>
    <row r="231">
      <c r="B231" t="inlineStr">
        <is>
          <t xml:space="preserve">  = 1 / (1 + exp(-0.3771))</t>
        </is>
      </c>
    </row>
    <row r="232">
      <c r="B232" s="7" t="inlineStr">
        <is>
          <t xml:space="preserve">  = 0.5932</t>
        </is>
      </c>
    </row>
    <row r="234">
      <c r="B234" s="13" t="inlineStr">
        <is>
          <t>⑦ BCE Loss:</t>
        </is>
      </c>
    </row>
    <row r="235">
      <c r="B235" t="inlineStr">
        <is>
          <t xml:space="preserve">  L = -(y·log(ŷ) + (1-y)·log(1-ŷ))</t>
        </is>
      </c>
    </row>
    <row r="236">
      <c r="B236" t="inlineStr">
        <is>
          <t xml:space="preserve">  = -(1×log(0.5932) + 0×log(0.4068))</t>
        </is>
      </c>
    </row>
    <row r="237">
      <c r="B237" s="13" t="inlineStr">
        <is>
          <t xml:space="preserve">  = 0.5223</t>
        </is>
      </c>
    </row>
    <row r="241">
      <c r="B241" s="15" t="inlineStr">
        <is>
          <t>═══ Sentence 2: "this film is bad" (y_true=0) ═══</t>
        </is>
      </c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7" t="n"/>
      <c r="Z241" s="17" t="n"/>
      <c r="AA241" s="17" t="n"/>
      <c r="AB241" s="17" t="n"/>
      <c r="AC241" s="17" t="n"/>
      <c r="AD241" s="17" t="n"/>
      <c r="AE241" s="17" t="n"/>
      <c r="AF241" s="17" t="n"/>
      <c r="AG241" s="17" t="n"/>
      <c r="AH241" s="18" t="n"/>
    </row>
    <row r="243">
      <c r="B243" s="2" t="inlineStr">
        <is>
          <t>──── t=0: 'this' ────</t>
        </is>
      </c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8" t="n"/>
    </row>
    <row r="244">
      <c r="B244" s="5" t="inlineStr">
        <is>
          <t>e_t =</t>
        </is>
      </c>
      <c r="C244" s="20" t="inlineStr">
        <is>
          <t>[</t>
        </is>
      </c>
      <c r="D244" s="10" t="n">
        <v>0.2</v>
      </c>
      <c r="E244" s="10" t="n">
        <v>0.1</v>
      </c>
      <c r="F244" s="10" t="n">
        <v>-0.1</v>
      </c>
      <c r="G244" s="10" t="n">
        <v>0.3</v>
      </c>
      <c r="H244" s="20" t="inlineStr">
        <is>
          <t>]</t>
        </is>
      </c>
    </row>
    <row r="245">
      <c r="B245" s="1" t="inlineStr">
        <is>
          <t>h_{t-1} =</t>
        </is>
      </c>
      <c r="C245" s="20" t="inlineStr">
        <is>
          <t>[</t>
        </is>
      </c>
      <c r="D245" s="3" t="n">
        <v>0</v>
      </c>
      <c r="E245" s="3" t="n">
        <v>0</v>
      </c>
      <c r="F245" s="3" t="n">
        <v>0</v>
      </c>
      <c r="G245" s="20" t="inlineStr">
        <is>
          <t>]</t>
        </is>
      </c>
    </row>
    <row r="247">
      <c r="B247" s="2" t="inlineStr">
        <is>
          <t>① Wxh · e_t:</t>
        </is>
      </c>
    </row>
    <row r="248">
      <c r="B248" s="8" t="inlineStr">
        <is>
          <t xml:space="preserve">  Wxh =</t>
        </is>
      </c>
      <c r="D248" s="8" t="n">
        <v>0.3</v>
      </c>
      <c r="E248" s="8" t="n">
        <v>-0.2</v>
      </c>
      <c r="F248" s="8" t="n">
        <v>0.1</v>
      </c>
      <c r="G248" s="8" t="n">
        <v>0.4</v>
      </c>
      <c r="I248" s="20" t="inlineStr">
        <is>
          <t>×</t>
        </is>
      </c>
      <c r="J248" s="10" t="inlineStr">
        <is>
          <t>e_t =</t>
        </is>
      </c>
      <c r="K248" s="10" t="n">
        <v>0.2</v>
      </c>
    </row>
    <row r="249">
      <c r="D249" s="8" t="n">
        <v>-0.1</v>
      </c>
      <c r="E249" s="8" t="n">
        <v>0.4</v>
      </c>
      <c r="F249" s="8" t="n">
        <v>-0.3</v>
      </c>
      <c r="G249" s="8" t="n">
        <v>0.2</v>
      </c>
      <c r="K249" s="10" t="n">
        <v>0.1</v>
      </c>
    </row>
    <row r="250">
      <c r="D250" s="8" t="n">
        <v>0.2</v>
      </c>
      <c r="E250" s="8" t="n">
        <v>0.1</v>
      </c>
      <c r="F250" s="8" t="n">
        <v>0.4</v>
      </c>
      <c r="G250" s="8" t="n">
        <v>-0.2</v>
      </c>
      <c r="K250" s="10" t="n">
        <v>-0.1</v>
      </c>
    </row>
    <row r="251">
      <c r="K251" s="10" t="n">
        <v>0.3</v>
      </c>
    </row>
    <row r="252">
      <c r="B252" s="8" t="inlineStr">
        <is>
          <t xml:space="preserve">  Calculation:</t>
        </is>
      </c>
    </row>
    <row r="253">
      <c r="B253" s="8" t="inlineStr">
        <is>
          <t xml:space="preserve">  h[0]</t>
        </is>
      </c>
      <c r="C253">
        <f> (0.3×0.2) + (-0.2×0.1) + (0.1×-0.1) + (0.4×0.3)</f>
        <v/>
      </c>
      <c r="P253" s="8">
        <f> 0.15</f>
        <v/>
      </c>
    </row>
    <row r="254">
      <c r="B254" s="8" t="inlineStr">
        <is>
          <t xml:space="preserve">  h[1]</t>
        </is>
      </c>
      <c r="C254">
        <f> (-0.1×0.2) + (0.4×0.1) + (-0.3×-0.1) + (0.2×0.3)</f>
        <v/>
      </c>
      <c r="P254" s="8">
        <f> 0.11</f>
        <v/>
      </c>
    </row>
    <row r="255">
      <c r="B255" s="8" t="inlineStr">
        <is>
          <t xml:space="preserve">  h[2]</t>
        </is>
      </c>
      <c r="C255">
        <f> (0.2×0.2) + (0.1×0.1) + (0.4×-0.1) + (-0.2×0.3)</f>
        <v/>
      </c>
      <c r="P255" s="8">
        <f> -0.05</f>
        <v/>
      </c>
    </row>
    <row r="257">
      <c r="B257" s="4" t="inlineStr">
        <is>
          <t>② Whh · h_{t-1}:</t>
        </is>
      </c>
    </row>
    <row r="258">
      <c r="B258" s="9" t="inlineStr">
        <is>
          <t xml:space="preserve">  Whh =</t>
        </is>
      </c>
      <c r="D258" s="9" t="n">
        <v>0.2</v>
      </c>
      <c r="E258" s="9" t="n">
        <v>-0.3</v>
      </c>
      <c r="F258" s="9" t="n">
        <v>0.1</v>
      </c>
      <c r="H258" s="20" t="inlineStr">
        <is>
          <t>×</t>
        </is>
      </c>
      <c r="I258" s="3" t="inlineStr">
        <is>
          <t>h_{t-1} =</t>
        </is>
      </c>
      <c r="K258" s="3" t="n">
        <v>0</v>
      </c>
    </row>
    <row r="259">
      <c r="D259" s="9" t="n">
        <v>0.4</v>
      </c>
      <c r="E259" s="9" t="n">
        <v>0.1</v>
      </c>
      <c r="F259" s="9" t="n">
        <v>-0.2</v>
      </c>
      <c r="K259" s="3" t="n">
        <v>0</v>
      </c>
    </row>
    <row r="260">
      <c r="D260" s="9" t="n">
        <v>-0.1</v>
      </c>
      <c r="E260" s="9" t="n">
        <v>0.3</v>
      </c>
      <c r="F260" s="9" t="n">
        <v>0.2</v>
      </c>
      <c r="K260" s="3" t="n">
        <v>0</v>
      </c>
    </row>
    <row r="261">
      <c r="B261" s="9" t="inlineStr">
        <is>
          <t xml:space="preserve">  Calculation:</t>
        </is>
      </c>
    </row>
    <row r="262">
      <c r="B262" s="9" t="inlineStr">
        <is>
          <t xml:space="preserve">  h[0]</t>
        </is>
      </c>
      <c r="C262">
        <f> (0.2×0.0) + (-0.3×0.0) + (0.1×0.0)</f>
        <v/>
      </c>
      <c r="P262" s="9">
        <f> 0.0</f>
        <v/>
      </c>
    </row>
    <row r="263">
      <c r="B263" s="9" t="inlineStr">
        <is>
          <t xml:space="preserve">  h[1]</t>
        </is>
      </c>
      <c r="C263">
        <f> (0.4×0.0) + (0.1×0.0) + (-0.2×0.0)</f>
        <v/>
      </c>
      <c r="P263" s="9">
        <f> 0.0</f>
        <v/>
      </c>
    </row>
    <row r="264">
      <c r="B264" s="9" t="inlineStr">
        <is>
          <t xml:space="preserve">  h[2]</t>
        </is>
      </c>
      <c r="C264">
        <f> (-0.1×0.0) + (0.3×0.0) + (0.2×0.0)</f>
        <v/>
      </c>
      <c r="P264" s="9">
        <f> 0.0</f>
        <v/>
      </c>
    </row>
    <row r="266">
      <c r="B266" s="6" t="inlineStr">
        <is>
          <t>③ z_h = ① + ② + bh:</t>
        </is>
      </c>
    </row>
    <row r="267">
      <c r="B267" s="8" t="inlineStr">
        <is>
          <t xml:space="preserve">  bh =</t>
        </is>
      </c>
      <c r="C267" s="20" t="inlineStr">
        <is>
          <t>[</t>
        </is>
      </c>
      <c r="D267" s="8" t="n">
        <v>0.1</v>
      </c>
      <c r="E267" s="8" t="n">
        <v>-0.1</v>
      </c>
      <c r="F267" s="8" t="n">
        <v>0.05</v>
      </c>
      <c r="G267" s="20" t="inlineStr">
        <is>
          <t>]</t>
        </is>
      </c>
    </row>
    <row r="268">
      <c r="B268" s="11" t="inlineStr">
        <is>
          <t xml:space="preserve">  Calculation:</t>
        </is>
      </c>
    </row>
    <row r="269">
      <c r="B269" s="11" t="inlineStr">
        <is>
          <t xml:space="preserve">  z_h[0]</t>
        </is>
      </c>
      <c r="C269">
        <f> 0.15 + 0.0 + 0.1</f>
        <v/>
      </c>
      <c r="P269" s="11">
        <f> 0.25</f>
        <v/>
      </c>
    </row>
    <row r="270">
      <c r="B270" s="11" t="inlineStr">
        <is>
          <t xml:space="preserve">  z_h[1]</t>
        </is>
      </c>
      <c r="C270">
        <f> 0.11 + 0.0 + -0.1</f>
        <v/>
      </c>
      <c r="P270" s="11">
        <f> 0.01</f>
        <v/>
      </c>
    </row>
    <row r="271">
      <c r="B271" s="11" t="inlineStr">
        <is>
          <t xml:space="preserve">  z_h[2]</t>
        </is>
      </c>
      <c r="C271">
        <f> -0.05 + 0.0 + 0.05</f>
        <v/>
      </c>
      <c r="P271" s="11">
        <f> 0.0</f>
        <v/>
      </c>
    </row>
    <row r="273">
      <c r="B273" s="4" t="inlineStr">
        <is>
          <t>④ h_t = tanh(z_h):</t>
        </is>
      </c>
    </row>
    <row r="274">
      <c r="B274" s="9" t="inlineStr">
        <is>
          <t xml:space="preserve">  h_t[0]</t>
        </is>
      </c>
      <c r="C274">
        <f> tanh(0.25)</f>
        <v/>
      </c>
      <c r="P274" s="9">
        <f> 0.2449</f>
        <v/>
      </c>
    </row>
    <row r="275">
      <c r="B275" s="9" t="inlineStr">
        <is>
          <t xml:space="preserve">  h_t[1]</t>
        </is>
      </c>
      <c r="C275">
        <f> tanh(0.01)</f>
        <v/>
      </c>
      <c r="P275" s="9">
        <f> 0.01</f>
        <v/>
      </c>
    </row>
    <row r="276">
      <c r="B276" s="9" t="inlineStr">
        <is>
          <t xml:space="preserve">  h_t[2]</t>
        </is>
      </c>
      <c r="C276">
        <f> tanh(0.0)</f>
        <v/>
      </c>
      <c r="P276" s="9">
        <f> 0.0</f>
        <v/>
      </c>
    </row>
    <row r="278">
      <c r="B278" s="4" t="inlineStr">
        <is>
          <t>→ h_t =</t>
        </is>
      </c>
      <c r="C278" s="20" t="inlineStr">
        <is>
          <t>[</t>
        </is>
      </c>
      <c r="D278" s="9" t="n">
        <v>0.2449</v>
      </c>
      <c r="E278" s="9" t="n">
        <v>0.01</v>
      </c>
      <c r="F278" s="9" t="n">
        <v>0</v>
      </c>
      <c r="G278" s="20" t="inlineStr">
        <is>
          <t>]</t>
        </is>
      </c>
    </row>
    <row r="281">
      <c r="B281" s="2" t="inlineStr">
        <is>
          <t>──── t=1: 'film' ────</t>
        </is>
      </c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8" t="n"/>
    </row>
    <row r="282">
      <c r="B282" s="5" t="inlineStr">
        <is>
          <t>e_t =</t>
        </is>
      </c>
      <c r="C282" s="20" t="inlineStr">
        <is>
          <t>[</t>
        </is>
      </c>
      <c r="D282" s="10" t="n">
        <v>0.4</v>
      </c>
      <c r="E282" s="10" t="n">
        <v>0.2</v>
      </c>
      <c r="F282" s="10" t="n">
        <v>0.3</v>
      </c>
      <c r="G282" s="10" t="n">
        <v>-0.1</v>
      </c>
      <c r="H282" s="20" t="inlineStr">
        <is>
          <t>]</t>
        </is>
      </c>
    </row>
    <row r="283">
      <c r="B283" s="1" t="inlineStr">
        <is>
          <t>h_{t-1} =</t>
        </is>
      </c>
      <c r="C283" s="20" t="inlineStr">
        <is>
          <t>[</t>
        </is>
      </c>
      <c r="D283" s="3" t="n">
        <v>0.2449</v>
      </c>
      <c r="E283" s="3" t="n">
        <v>0.01</v>
      </c>
      <c r="F283" s="3" t="n">
        <v>0</v>
      </c>
      <c r="G283" s="20" t="inlineStr">
        <is>
          <t>]</t>
        </is>
      </c>
    </row>
    <row r="285">
      <c r="B285" s="2" t="inlineStr">
        <is>
          <t>① Wxh · e_t:</t>
        </is>
      </c>
    </row>
    <row r="286">
      <c r="B286" s="8" t="inlineStr">
        <is>
          <t xml:space="preserve">  Wxh =</t>
        </is>
      </c>
      <c r="D286" s="8" t="n">
        <v>0.3</v>
      </c>
      <c r="E286" s="8" t="n">
        <v>-0.2</v>
      </c>
      <c r="F286" s="8" t="n">
        <v>0.1</v>
      </c>
      <c r="G286" s="8" t="n">
        <v>0.4</v>
      </c>
      <c r="I286" s="20" t="inlineStr">
        <is>
          <t>×</t>
        </is>
      </c>
      <c r="J286" s="10" t="inlineStr">
        <is>
          <t>e_t =</t>
        </is>
      </c>
      <c r="K286" s="10" t="n">
        <v>0.4</v>
      </c>
    </row>
    <row r="287">
      <c r="D287" s="8" t="n">
        <v>-0.1</v>
      </c>
      <c r="E287" s="8" t="n">
        <v>0.4</v>
      </c>
      <c r="F287" s="8" t="n">
        <v>-0.3</v>
      </c>
      <c r="G287" s="8" t="n">
        <v>0.2</v>
      </c>
      <c r="K287" s="10" t="n">
        <v>0.2</v>
      </c>
    </row>
    <row r="288">
      <c r="D288" s="8" t="n">
        <v>0.2</v>
      </c>
      <c r="E288" s="8" t="n">
        <v>0.1</v>
      </c>
      <c r="F288" s="8" t="n">
        <v>0.4</v>
      </c>
      <c r="G288" s="8" t="n">
        <v>-0.2</v>
      </c>
      <c r="K288" s="10" t="n">
        <v>0.3</v>
      </c>
    </row>
    <row r="289">
      <c r="K289" s="10" t="n">
        <v>-0.1</v>
      </c>
    </row>
    <row r="290">
      <c r="B290" s="8" t="inlineStr">
        <is>
          <t xml:space="preserve">  Calculation:</t>
        </is>
      </c>
    </row>
    <row r="291">
      <c r="B291" s="8" t="inlineStr">
        <is>
          <t xml:space="preserve">  h[0]</t>
        </is>
      </c>
      <c r="C291">
        <f> (0.3×0.4) + (-0.2×0.2) + (0.1×0.3) + (0.4×-0.1)</f>
        <v/>
      </c>
      <c r="P291" s="8">
        <f> 0.07</f>
        <v/>
      </c>
    </row>
    <row r="292">
      <c r="B292" s="8" t="inlineStr">
        <is>
          <t xml:space="preserve">  h[1]</t>
        </is>
      </c>
      <c r="C292">
        <f> (-0.1×0.4) + (0.4×0.2) + (-0.3×0.3) + (0.2×-0.1)</f>
        <v/>
      </c>
      <c r="P292" s="8">
        <f> -0.07</f>
        <v/>
      </c>
    </row>
    <row r="293">
      <c r="B293" s="8" t="inlineStr">
        <is>
          <t xml:space="preserve">  h[2]</t>
        </is>
      </c>
      <c r="C293">
        <f> (0.2×0.4) + (0.1×0.2) + (0.4×0.3) + (-0.2×-0.1)</f>
        <v/>
      </c>
      <c r="P293" s="8">
        <f> 0.24</f>
        <v/>
      </c>
    </row>
    <row r="295">
      <c r="B295" s="4" t="inlineStr">
        <is>
          <t>② Whh · h_{t-1}:</t>
        </is>
      </c>
    </row>
    <row r="296">
      <c r="B296" s="9" t="inlineStr">
        <is>
          <t xml:space="preserve">  Whh =</t>
        </is>
      </c>
      <c r="D296" s="9" t="n">
        <v>0.2</v>
      </c>
      <c r="E296" s="9" t="n">
        <v>-0.3</v>
      </c>
      <c r="F296" s="9" t="n">
        <v>0.1</v>
      </c>
      <c r="H296" s="20" t="inlineStr">
        <is>
          <t>×</t>
        </is>
      </c>
      <c r="I296" s="3" t="inlineStr">
        <is>
          <t>h_{t-1} =</t>
        </is>
      </c>
      <c r="K296" s="3" t="n">
        <v>0.2449</v>
      </c>
    </row>
    <row r="297">
      <c r="D297" s="9" t="n">
        <v>0.4</v>
      </c>
      <c r="E297" s="9" t="n">
        <v>0.1</v>
      </c>
      <c r="F297" s="9" t="n">
        <v>-0.2</v>
      </c>
      <c r="K297" s="3" t="n">
        <v>0.01</v>
      </c>
    </row>
    <row r="298">
      <c r="D298" s="9" t="n">
        <v>-0.1</v>
      </c>
      <c r="E298" s="9" t="n">
        <v>0.3</v>
      </c>
      <c r="F298" s="9" t="n">
        <v>0.2</v>
      </c>
      <c r="K298" s="3" t="n">
        <v>0</v>
      </c>
    </row>
    <row r="299">
      <c r="B299" s="9" t="inlineStr">
        <is>
          <t xml:space="preserve">  Calculation:</t>
        </is>
      </c>
    </row>
    <row r="300">
      <c r="B300" s="9" t="inlineStr">
        <is>
          <t xml:space="preserve">  h[0]</t>
        </is>
      </c>
      <c r="C300">
        <f> (0.2×0.2449) + (-0.3×0.01) + (0.1×0.0)</f>
        <v/>
      </c>
      <c r="P300" s="9">
        <f> 0.046</f>
        <v/>
      </c>
    </row>
    <row r="301">
      <c r="B301" s="9" t="inlineStr">
        <is>
          <t xml:space="preserve">  h[1]</t>
        </is>
      </c>
      <c r="C301">
        <f> (0.4×0.2449) + (0.1×0.01) + (-0.2×0.0)</f>
        <v/>
      </c>
      <c r="P301" s="9">
        <f> 0.099</f>
        <v/>
      </c>
    </row>
    <row r="302">
      <c r="B302" s="9" t="inlineStr">
        <is>
          <t xml:space="preserve">  h[2]</t>
        </is>
      </c>
      <c r="C302">
        <f> (-0.1×0.2449) + (0.3×0.01) + (0.2×0.0)</f>
        <v/>
      </c>
      <c r="P302" s="9">
        <f> -0.0215</f>
        <v/>
      </c>
    </row>
    <row r="304">
      <c r="B304" s="6" t="inlineStr">
        <is>
          <t>③ z_h = ① + ② + bh:</t>
        </is>
      </c>
    </row>
    <row r="305">
      <c r="B305" s="8" t="inlineStr">
        <is>
          <t xml:space="preserve">  bh =</t>
        </is>
      </c>
      <c r="C305" s="20" t="inlineStr">
        <is>
          <t>[</t>
        </is>
      </c>
      <c r="D305" s="8" t="n">
        <v>0.1</v>
      </c>
      <c r="E305" s="8" t="n">
        <v>-0.1</v>
      </c>
      <c r="F305" s="8" t="n">
        <v>0.05</v>
      </c>
      <c r="G305" s="20" t="inlineStr">
        <is>
          <t>]</t>
        </is>
      </c>
    </row>
    <row r="306">
      <c r="B306" s="11" t="inlineStr">
        <is>
          <t xml:space="preserve">  Calculation:</t>
        </is>
      </c>
    </row>
    <row r="307">
      <c r="B307" s="11" t="inlineStr">
        <is>
          <t xml:space="preserve">  z_h[0]</t>
        </is>
      </c>
      <c r="C307">
        <f> 0.07 + 0.046 + 0.1</f>
        <v/>
      </c>
      <c r="P307" s="11">
        <f> 0.216</f>
        <v/>
      </c>
    </row>
    <row r="308">
      <c r="B308" s="11" t="inlineStr">
        <is>
          <t xml:space="preserve">  z_h[1]</t>
        </is>
      </c>
      <c r="C308">
        <f> -0.07 + 0.099 + -0.1</f>
        <v/>
      </c>
      <c r="P308" s="11">
        <f> -0.071</f>
        <v/>
      </c>
    </row>
    <row r="309">
      <c r="B309" s="11" t="inlineStr">
        <is>
          <t xml:space="preserve">  z_h[2]</t>
        </is>
      </c>
      <c r="C309">
        <f> 0.24 + -0.0215 + 0.05</f>
        <v/>
      </c>
      <c r="P309" s="11">
        <f> 0.2685</f>
        <v/>
      </c>
    </row>
    <row r="311">
      <c r="B311" s="4" t="inlineStr">
        <is>
          <t>④ h_t = tanh(z_h):</t>
        </is>
      </c>
    </row>
    <row r="312">
      <c r="B312" s="9" t="inlineStr">
        <is>
          <t xml:space="preserve">  h_t[0]</t>
        </is>
      </c>
      <c r="C312">
        <f> tanh(0.216)</f>
        <v/>
      </c>
      <c r="P312" s="9">
        <f> 0.2127</f>
        <v/>
      </c>
    </row>
    <row r="313">
      <c r="B313" s="9" t="inlineStr">
        <is>
          <t xml:space="preserve">  h_t[1]</t>
        </is>
      </c>
      <c r="C313">
        <f> tanh(-0.071)</f>
        <v/>
      </c>
      <c r="P313" s="9">
        <f> -0.0709</f>
        <v/>
      </c>
    </row>
    <row r="314">
      <c r="B314" s="9" t="inlineStr">
        <is>
          <t xml:space="preserve">  h_t[2]</t>
        </is>
      </c>
      <c r="C314">
        <f> tanh(0.2685)</f>
        <v/>
      </c>
      <c r="P314" s="9">
        <f> 0.2622</f>
        <v/>
      </c>
    </row>
    <row r="316">
      <c r="B316" s="4" t="inlineStr">
        <is>
          <t>→ h_t =</t>
        </is>
      </c>
      <c r="C316" s="20" t="inlineStr">
        <is>
          <t>[</t>
        </is>
      </c>
      <c r="D316" s="9" t="n">
        <v>0.2127</v>
      </c>
      <c r="E316" s="9" t="n">
        <v>-0.0709</v>
      </c>
      <c r="F316" s="9" t="n">
        <v>0.2622</v>
      </c>
      <c r="G316" s="20" t="inlineStr">
        <is>
          <t>]</t>
        </is>
      </c>
    </row>
    <row r="319">
      <c r="B319" s="2" t="inlineStr">
        <is>
          <t>──── t=2: 'is' ────</t>
        </is>
      </c>
      <c r="C319" s="17" t="n"/>
      <c r="D319" s="17" t="n"/>
      <c r="E319" s="17" t="n"/>
      <c r="F319" s="17" t="n"/>
      <c r="G319" s="17" t="n"/>
      <c r="H319" s="17" t="n"/>
      <c r="I319" s="17" t="n"/>
      <c r="J319" s="17" t="n"/>
      <c r="K319" s="17" t="n"/>
      <c r="L319" s="18" t="n"/>
    </row>
    <row r="320">
      <c r="B320" s="5" t="inlineStr">
        <is>
          <t>e_t =</t>
        </is>
      </c>
      <c r="C320" s="20" t="inlineStr">
        <is>
          <t>[</t>
        </is>
      </c>
      <c r="D320" s="10" t="n">
        <v>-0.1</v>
      </c>
      <c r="E320" s="10" t="n">
        <v>0.2</v>
      </c>
      <c r="F320" s="10" t="n">
        <v>0.1</v>
      </c>
      <c r="G320" s="10" t="n">
        <v>0.1</v>
      </c>
      <c r="H320" s="20" t="inlineStr">
        <is>
          <t>]</t>
        </is>
      </c>
    </row>
    <row r="321">
      <c r="B321" s="1" t="inlineStr">
        <is>
          <t>h_{t-1} =</t>
        </is>
      </c>
      <c r="C321" s="20" t="inlineStr">
        <is>
          <t>[</t>
        </is>
      </c>
      <c r="D321" s="3" t="n">
        <v>0.2127</v>
      </c>
      <c r="E321" s="3" t="n">
        <v>-0.0709</v>
      </c>
      <c r="F321" s="3" t="n">
        <v>0.2622</v>
      </c>
      <c r="G321" s="20" t="inlineStr">
        <is>
          <t>]</t>
        </is>
      </c>
    </row>
    <row r="323">
      <c r="B323" s="2" t="inlineStr">
        <is>
          <t>① Wxh · e_t:</t>
        </is>
      </c>
    </row>
    <row r="324">
      <c r="B324" s="8" t="inlineStr">
        <is>
          <t xml:space="preserve">  Wxh =</t>
        </is>
      </c>
      <c r="D324" s="8" t="n">
        <v>0.3</v>
      </c>
      <c r="E324" s="8" t="n">
        <v>-0.2</v>
      </c>
      <c r="F324" s="8" t="n">
        <v>0.1</v>
      </c>
      <c r="G324" s="8" t="n">
        <v>0.4</v>
      </c>
      <c r="I324" s="20" t="inlineStr">
        <is>
          <t>×</t>
        </is>
      </c>
      <c r="J324" s="10" t="inlineStr">
        <is>
          <t>e_t =</t>
        </is>
      </c>
      <c r="K324" s="10" t="n">
        <v>-0.1</v>
      </c>
    </row>
    <row r="325">
      <c r="D325" s="8" t="n">
        <v>-0.1</v>
      </c>
      <c r="E325" s="8" t="n">
        <v>0.4</v>
      </c>
      <c r="F325" s="8" t="n">
        <v>-0.3</v>
      </c>
      <c r="G325" s="8" t="n">
        <v>0.2</v>
      </c>
      <c r="K325" s="10" t="n">
        <v>0.2</v>
      </c>
    </row>
    <row r="326">
      <c r="D326" s="8" t="n">
        <v>0.2</v>
      </c>
      <c r="E326" s="8" t="n">
        <v>0.1</v>
      </c>
      <c r="F326" s="8" t="n">
        <v>0.4</v>
      </c>
      <c r="G326" s="8" t="n">
        <v>-0.2</v>
      </c>
      <c r="K326" s="10" t="n">
        <v>0.1</v>
      </c>
    </row>
    <row r="327">
      <c r="K327" s="10" t="n">
        <v>0.1</v>
      </c>
    </row>
    <row r="328">
      <c r="B328" s="8" t="inlineStr">
        <is>
          <t xml:space="preserve">  Calculation:</t>
        </is>
      </c>
    </row>
    <row r="329">
      <c r="B329" s="8" t="inlineStr">
        <is>
          <t xml:space="preserve">  h[0]</t>
        </is>
      </c>
      <c r="C329">
        <f> (0.3×-0.1) + (-0.2×0.2) + (0.1×0.1) + (0.4×0.1)</f>
        <v/>
      </c>
      <c r="P329" s="8">
        <f> -0.02</f>
        <v/>
      </c>
    </row>
    <row r="330">
      <c r="B330" s="8" t="inlineStr">
        <is>
          <t xml:space="preserve">  h[1]</t>
        </is>
      </c>
      <c r="C330">
        <f> (-0.1×-0.1) + (0.4×0.2) + (-0.3×0.1) + (0.2×0.1)</f>
        <v/>
      </c>
      <c r="P330" s="8">
        <f> 0.08</f>
        <v/>
      </c>
    </row>
    <row r="331">
      <c r="B331" s="8" t="inlineStr">
        <is>
          <t xml:space="preserve">  h[2]</t>
        </is>
      </c>
      <c r="C331">
        <f> (0.2×-0.1) + (0.1×0.2) + (0.4×0.1) + (-0.2×0.1)</f>
        <v/>
      </c>
      <c r="P331" s="8">
        <f> 0.02</f>
        <v/>
      </c>
    </row>
    <row r="333">
      <c r="B333" s="4" t="inlineStr">
        <is>
          <t>② Whh · h_{t-1}:</t>
        </is>
      </c>
    </row>
    <row r="334">
      <c r="B334" s="9" t="inlineStr">
        <is>
          <t xml:space="preserve">  Whh =</t>
        </is>
      </c>
      <c r="D334" s="9" t="n">
        <v>0.2</v>
      </c>
      <c r="E334" s="9" t="n">
        <v>-0.3</v>
      </c>
      <c r="F334" s="9" t="n">
        <v>0.1</v>
      </c>
      <c r="H334" s="20" t="inlineStr">
        <is>
          <t>×</t>
        </is>
      </c>
      <c r="I334" s="3" t="inlineStr">
        <is>
          <t>h_{t-1} =</t>
        </is>
      </c>
      <c r="K334" s="3" t="n">
        <v>0.2127</v>
      </c>
    </row>
    <row r="335">
      <c r="D335" s="9" t="n">
        <v>0.4</v>
      </c>
      <c r="E335" s="9" t="n">
        <v>0.1</v>
      </c>
      <c r="F335" s="9" t="n">
        <v>-0.2</v>
      </c>
      <c r="K335" s="3" t="n">
        <v>-0.0709</v>
      </c>
    </row>
    <row r="336">
      <c r="D336" s="9" t="n">
        <v>-0.1</v>
      </c>
      <c r="E336" s="9" t="n">
        <v>0.3</v>
      </c>
      <c r="F336" s="9" t="n">
        <v>0.2</v>
      </c>
      <c r="K336" s="3" t="n">
        <v>0.2622</v>
      </c>
    </row>
    <row r="337">
      <c r="B337" s="9" t="inlineStr">
        <is>
          <t xml:space="preserve">  Calculation:</t>
        </is>
      </c>
    </row>
    <row r="338">
      <c r="B338" s="9" t="inlineStr">
        <is>
          <t xml:space="preserve">  h[0]</t>
        </is>
      </c>
      <c r="C338">
        <f> (0.2×0.2127) + (-0.3×-0.0709) + (0.1×0.2622)</f>
        <v/>
      </c>
      <c r="P338" s="9">
        <f> 0.09</f>
        <v/>
      </c>
    </row>
    <row r="339">
      <c r="B339" s="9" t="inlineStr">
        <is>
          <t xml:space="preserve">  h[1]</t>
        </is>
      </c>
      <c r="C339">
        <f> (0.4×0.2127) + (0.1×-0.0709) + (-0.2×0.2622)</f>
        <v/>
      </c>
      <c r="P339" s="9">
        <f> 0.0255</f>
        <v/>
      </c>
    </row>
    <row r="340">
      <c r="B340" s="9" t="inlineStr">
        <is>
          <t xml:space="preserve">  h[2]</t>
        </is>
      </c>
      <c r="C340">
        <f> (-0.1×0.2127) + (0.3×-0.0709) + (0.2×0.2622)</f>
        <v/>
      </c>
      <c r="P340" s="9">
        <f> 0.0099</f>
        <v/>
      </c>
    </row>
    <row r="342">
      <c r="B342" s="6" t="inlineStr">
        <is>
          <t>③ z_h = ① + ② + bh:</t>
        </is>
      </c>
    </row>
    <row r="343">
      <c r="B343" s="8" t="inlineStr">
        <is>
          <t xml:space="preserve">  bh =</t>
        </is>
      </c>
      <c r="C343" s="20" t="inlineStr">
        <is>
          <t>[</t>
        </is>
      </c>
      <c r="D343" s="8" t="n">
        <v>0.1</v>
      </c>
      <c r="E343" s="8" t="n">
        <v>-0.1</v>
      </c>
      <c r="F343" s="8" t="n">
        <v>0.05</v>
      </c>
      <c r="G343" s="20" t="inlineStr">
        <is>
          <t>]</t>
        </is>
      </c>
    </row>
    <row r="344">
      <c r="B344" s="11" t="inlineStr">
        <is>
          <t xml:space="preserve">  Calculation:</t>
        </is>
      </c>
    </row>
    <row r="345">
      <c r="B345" s="11" t="inlineStr">
        <is>
          <t xml:space="preserve">  z_h[0]</t>
        </is>
      </c>
      <c r="C345">
        <f> -0.02 + 0.09 + 0.1</f>
        <v/>
      </c>
      <c r="P345" s="11">
        <f> 0.17</f>
        <v/>
      </c>
    </row>
    <row r="346">
      <c r="B346" s="11" t="inlineStr">
        <is>
          <t xml:space="preserve">  z_h[1]</t>
        </is>
      </c>
      <c r="C346">
        <f> 0.08 + 0.0255 + -0.1</f>
        <v/>
      </c>
      <c r="P346" s="11">
        <f> 0.0055</f>
        <v/>
      </c>
    </row>
    <row r="347">
      <c r="B347" s="11" t="inlineStr">
        <is>
          <t xml:space="preserve">  z_h[2]</t>
        </is>
      </c>
      <c r="C347">
        <f> 0.02 + 0.0099 + 0.05</f>
        <v/>
      </c>
      <c r="P347" s="11">
        <f> 0.0799</f>
        <v/>
      </c>
    </row>
    <row r="349">
      <c r="B349" s="4" t="inlineStr">
        <is>
          <t>④ h_t = tanh(z_h):</t>
        </is>
      </c>
    </row>
    <row r="350">
      <c r="B350" s="9" t="inlineStr">
        <is>
          <t xml:space="preserve">  h_t[0]</t>
        </is>
      </c>
      <c r="C350">
        <f> tanh(0.17)</f>
        <v/>
      </c>
      <c r="P350" s="9">
        <f> 0.1684</f>
        <v/>
      </c>
    </row>
    <row r="351">
      <c r="B351" s="9" t="inlineStr">
        <is>
          <t xml:space="preserve">  h_t[1]</t>
        </is>
      </c>
      <c r="C351">
        <f> tanh(0.0055)</f>
        <v/>
      </c>
      <c r="P351" s="9">
        <f> 0.0055</f>
        <v/>
      </c>
    </row>
    <row r="352">
      <c r="B352" s="9" t="inlineStr">
        <is>
          <t xml:space="preserve">  h_t[2]</t>
        </is>
      </c>
      <c r="C352">
        <f> tanh(0.0799)</f>
        <v/>
      </c>
      <c r="P352" s="9">
        <f> 0.0797</f>
        <v/>
      </c>
    </row>
    <row r="354">
      <c r="B354" s="4" t="inlineStr">
        <is>
          <t>→ h_t =</t>
        </is>
      </c>
      <c r="C354" s="20" t="inlineStr">
        <is>
          <t>[</t>
        </is>
      </c>
      <c r="D354" s="9" t="n">
        <v>0.1684</v>
      </c>
      <c r="E354" s="9" t="n">
        <v>0.0055</v>
      </c>
      <c r="F354" s="9" t="n">
        <v>0.07969999999999999</v>
      </c>
      <c r="G354" s="20" t="inlineStr">
        <is>
          <t>]</t>
        </is>
      </c>
    </row>
    <row r="357">
      <c r="B357" s="2" t="inlineStr">
        <is>
          <t>──── t=3: 'bad' ────</t>
        </is>
      </c>
      <c r="C357" s="17" t="n"/>
      <c r="D357" s="17" t="n"/>
      <c r="E357" s="17" t="n"/>
      <c r="F357" s="17" t="n"/>
      <c r="G357" s="17" t="n"/>
      <c r="H357" s="17" t="n"/>
      <c r="I357" s="17" t="n"/>
      <c r="J357" s="17" t="n"/>
      <c r="K357" s="17" t="n"/>
      <c r="L357" s="18" t="n"/>
    </row>
    <row r="358">
      <c r="B358" s="5" t="inlineStr">
        <is>
          <t>e_t =</t>
        </is>
      </c>
      <c r="C358" s="20" t="inlineStr">
        <is>
          <t>[</t>
        </is>
      </c>
      <c r="D358" s="10" t="n">
        <v>-0.5</v>
      </c>
      <c r="E358" s="10" t="n">
        <v>-0.4</v>
      </c>
      <c r="F358" s="10" t="n">
        <v>-0.3</v>
      </c>
      <c r="G358" s="10" t="n">
        <v>-0.2</v>
      </c>
      <c r="H358" s="20" t="inlineStr">
        <is>
          <t>]</t>
        </is>
      </c>
    </row>
    <row r="359">
      <c r="B359" s="1" t="inlineStr">
        <is>
          <t>h_{t-1} =</t>
        </is>
      </c>
      <c r="C359" s="20" t="inlineStr">
        <is>
          <t>[</t>
        </is>
      </c>
      <c r="D359" s="3" t="n">
        <v>0.1684</v>
      </c>
      <c r="E359" s="3" t="n">
        <v>0.0055</v>
      </c>
      <c r="F359" s="3" t="n">
        <v>0.07969999999999999</v>
      </c>
      <c r="G359" s="20" t="inlineStr">
        <is>
          <t>]</t>
        </is>
      </c>
    </row>
    <row r="361">
      <c r="B361" s="2" t="inlineStr">
        <is>
          <t>① Wxh · e_t:</t>
        </is>
      </c>
    </row>
    <row r="362">
      <c r="B362" s="8" t="inlineStr">
        <is>
          <t xml:space="preserve">  Wxh =</t>
        </is>
      </c>
      <c r="D362" s="8" t="n">
        <v>0.3</v>
      </c>
      <c r="E362" s="8" t="n">
        <v>-0.2</v>
      </c>
      <c r="F362" s="8" t="n">
        <v>0.1</v>
      </c>
      <c r="G362" s="8" t="n">
        <v>0.4</v>
      </c>
      <c r="I362" s="20" t="inlineStr">
        <is>
          <t>×</t>
        </is>
      </c>
      <c r="J362" s="10" t="inlineStr">
        <is>
          <t>e_t =</t>
        </is>
      </c>
      <c r="K362" s="10" t="n">
        <v>-0.5</v>
      </c>
    </row>
    <row r="363">
      <c r="D363" s="8" t="n">
        <v>-0.1</v>
      </c>
      <c r="E363" s="8" t="n">
        <v>0.4</v>
      </c>
      <c r="F363" s="8" t="n">
        <v>-0.3</v>
      </c>
      <c r="G363" s="8" t="n">
        <v>0.2</v>
      </c>
      <c r="K363" s="10" t="n">
        <v>-0.4</v>
      </c>
    </row>
    <row r="364">
      <c r="D364" s="8" t="n">
        <v>0.2</v>
      </c>
      <c r="E364" s="8" t="n">
        <v>0.1</v>
      </c>
      <c r="F364" s="8" t="n">
        <v>0.4</v>
      </c>
      <c r="G364" s="8" t="n">
        <v>-0.2</v>
      </c>
      <c r="K364" s="10" t="n">
        <v>-0.3</v>
      </c>
    </row>
    <row r="365">
      <c r="K365" s="10" t="n">
        <v>-0.2</v>
      </c>
    </row>
    <row r="366">
      <c r="B366" s="8" t="inlineStr">
        <is>
          <t xml:space="preserve">  Calculation:</t>
        </is>
      </c>
    </row>
    <row r="367">
      <c r="B367" s="8" t="inlineStr">
        <is>
          <t xml:space="preserve">  h[0]</t>
        </is>
      </c>
      <c r="C367">
        <f> (0.3×-0.5) + (-0.2×-0.4) + (0.1×-0.3) + (0.4×-0.2)</f>
        <v/>
      </c>
      <c r="P367" s="8">
        <f> -0.18</f>
        <v/>
      </c>
    </row>
    <row r="368">
      <c r="B368" s="8" t="inlineStr">
        <is>
          <t xml:space="preserve">  h[1]</t>
        </is>
      </c>
      <c r="C368">
        <f> (-0.1×-0.5) + (0.4×-0.4) + (-0.3×-0.3) + (0.2×-0.2)</f>
        <v/>
      </c>
      <c r="P368" s="8">
        <f> -0.06</f>
        <v/>
      </c>
    </row>
    <row r="369">
      <c r="B369" s="8" t="inlineStr">
        <is>
          <t xml:space="preserve">  h[2]</t>
        </is>
      </c>
      <c r="C369">
        <f> (0.2×-0.5) + (0.1×-0.4) + (0.4×-0.3) + (-0.2×-0.2)</f>
        <v/>
      </c>
      <c r="P369" s="8">
        <f> -0.22</f>
        <v/>
      </c>
    </row>
    <row r="371">
      <c r="B371" s="4" t="inlineStr">
        <is>
          <t>② Whh · h_{t-1}:</t>
        </is>
      </c>
    </row>
    <row r="372">
      <c r="B372" s="9" t="inlineStr">
        <is>
          <t xml:space="preserve">  Whh =</t>
        </is>
      </c>
      <c r="D372" s="9" t="n">
        <v>0.2</v>
      </c>
      <c r="E372" s="9" t="n">
        <v>-0.3</v>
      </c>
      <c r="F372" s="9" t="n">
        <v>0.1</v>
      </c>
      <c r="H372" s="20" t="inlineStr">
        <is>
          <t>×</t>
        </is>
      </c>
      <c r="I372" s="3" t="inlineStr">
        <is>
          <t>h_{t-1} =</t>
        </is>
      </c>
      <c r="K372" s="3" t="n">
        <v>0.1684</v>
      </c>
    </row>
    <row r="373">
      <c r="D373" s="9" t="n">
        <v>0.4</v>
      </c>
      <c r="E373" s="9" t="n">
        <v>0.1</v>
      </c>
      <c r="F373" s="9" t="n">
        <v>-0.2</v>
      </c>
      <c r="K373" s="3" t="n">
        <v>0.0055</v>
      </c>
    </row>
    <row r="374">
      <c r="D374" s="9" t="n">
        <v>-0.1</v>
      </c>
      <c r="E374" s="9" t="n">
        <v>0.3</v>
      </c>
      <c r="F374" s="9" t="n">
        <v>0.2</v>
      </c>
      <c r="K374" s="3" t="n">
        <v>0.07969999999999999</v>
      </c>
    </row>
    <row r="375">
      <c r="B375" s="9" t="inlineStr">
        <is>
          <t xml:space="preserve">  Calculation:</t>
        </is>
      </c>
    </row>
    <row r="376">
      <c r="B376" s="9" t="inlineStr">
        <is>
          <t xml:space="preserve">  h[0]</t>
        </is>
      </c>
      <c r="C376">
        <f> (0.2×0.1684) + (-0.3×0.0055) + (0.1×0.0797)</f>
        <v/>
      </c>
      <c r="P376" s="9">
        <f> 0.04</f>
        <v/>
      </c>
    </row>
    <row r="377">
      <c r="B377" s="9" t="inlineStr">
        <is>
          <t xml:space="preserve">  h[1]</t>
        </is>
      </c>
      <c r="C377">
        <f> (0.4×0.1684) + (0.1×0.0055) + (-0.2×0.0797)</f>
        <v/>
      </c>
      <c r="P377" s="9">
        <f> 0.052</f>
        <v/>
      </c>
    </row>
    <row r="378">
      <c r="B378" s="9" t="inlineStr">
        <is>
          <t xml:space="preserve">  h[2]</t>
        </is>
      </c>
      <c r="C378">
        <f> (-0.1×0.1684) + (0.3×0.0055) + (0.2×0.0797)</f>
        <v/>
      </c>
      <c r="P378" s="9">
        <f> 0.0008</f>
        <v/>
      </c>
    </row>
    <row r="380">
      <c r="B380" s="6" t="inlineStr">
        <is>
          <t>③ z_h = ① + ② + bh:</t>
        </is>
      </c>
    </row>
    <row r="381">
      <c r="B381" s="8" t="inlineStr">
        <is>
          <t xml:space="preserve">  bh =</t>
        </is>
      </c>
      <c r="C381" s="20" t="inlineStr">
        <is>
          <t>[</t>
        </is>
      </c>
      <c r="D381" s="8" t="n">
        <v>0.1</v>
      </c>
      <c r="E381" s="8" t="n">
        <v>-0.1</v>
      </c>
      <c r="F381" s="8" t="n">
        <v>0.05</v>
      </c>
      <c r="G381" s="20" t="inlineStr">
        <is>
          <t>]</t>
        </is>
      </c>
    </row>
    <row r="382">
      <c r="B382" s="11" t="inlineStr">
        <is>
          <t xml:space="preserve">  Calculation:</t>
        </is>
      </c>
    </row>
    <row r="383">
      <c r="B383" s="11" t="inlineStr">
        <is>
          <t xml:space="preserve">  z_h[0]</t>
        </is>
      </c>
      <c r="C383">
        <f> -0.18 + 0.04 + 0.1</f>
        <v/>
      </c>
      <c r="P383" s="11">
        <f> -0.04</f>
        <v/>
      </c>
    </row>
    <row r="384">
      <c r="B384" s="11" t="inlineStr">
        <is>
          <t xml:space="preserve">  z_h[1]</t>
        </is>
      </c>
      <c r="C384">
        <f> -0.06 + 0.052 + -0.1</f>
        <v/>
      </c>
      <c r="P384" s="11">
        <f> -0.108</f>
        <v/>
      </c>
    </row>
    <row r="385">
      <c r="B385" s="11" t="inlineStr">
        <is>
          <t xml:space="preserve">  z_h[2]</t>
        </is>
      </c>
      <c r="C385">
        <f> -0.22 + 0.0008 + 0.05</f>
        <v/>
      </c>
      <c r="P385" s="11">
        <f> -0.1692</f>
        <v/>
      </c>
    </row>
    <row r="387">
      <c r="B387" s="4" t="inlineStr">
        <is>
          <t>④ h_t = tanh(z_h):</t>
        </is>
      </c>
    </row>
    <row r="388">
      <c r="B388" s="9" t="inlineStr">
        <is>
          <t xml:space="preserve">  h_t[0]</t>
        </is>
      </c>
      <c r="C388">
        <f> tanh(-0.04)</f>
        <v/>
      </c>
      <c r="P388" s="9">
        <f> -0.04</f>
        <v/>
      </c>
    </row>
    <row r="389">
      <c r="B389" s="9" t="inlineStr">
        <is>
          <t xml:space="preserve">  h_t[1]</t>
        </is>
      </c>
      <c r="C389">
        <f> tanh(-0.108)</f>
        <v/>
      </c>
      <c r="P389" s="9">
        <f> -0.1076</f>
        <v/>
      </c>
    </row>
    <row r="390">
      <c r="B390" s="9" t="inlineStr">
        <is>
          <t xml:space="preserve">  h_t[2]</t>
        </is>
      </c>
      <c r="C390">
        <f> tanh(-0.1692)</f>
        <v/>
      </c>
      <c r="P390" s="9">
        <f> -0.1676</f>
        <v/>
      </c>
    </row>
    <row r="392">
      <c r="B392" s="4" t="inlineStr">
        <is>
          <t>→ h_t =</t>
        </is>
      </c>
      <c r="C392" s="20" t="inlineStr">
        <is>
          <t>[</t>
        </is>
      </c>
      <c r="D392" s="9" t="n">
        <v>-0.04</v>
      </c>
      <c r="E392" s="9" t="n">
        <v>-0.1076</v>
      </c>
      <c r="F392" s="9" t="n">
        <v>-0.1676</v>
      </c>
      <c r="G392" s="20" t="inlineStr">
        <is>
          <t>]</t>
        </is>
      </c>
    </row>
    <row r="395">
      <c r="B395" s="7" t="inlineStr">
        <is>
          <t>──── Output Calculation ────</t>
        </is>
      </c>
      <c r="C395" s="17" t="n"/>
      <c r="D395" s="17" t="n"/>
      <c r="E395" s="17" t="n"/>
      <c r="F395" s="17" t="n"/>
      <c r="G395" s="17" t="n"/>
      <c r="H395" s="17" t="n"/>
      <c r="I395" s="17" t="n"/>
      <c r="J395" s="17" t="n"/>
      <c r="K395" s="17" t="n"/>
      <c r="L395" s="18" t="n"/>
    </row>
    <row r="397">
      <c r="B397" s="4" t="inlineStr">
        <is>
          <t>h_final =</t>
        </is>
      </c>
      <c r="C397" s="20" t="inlineStr">
        <is>
          <t>[</t>
        </is>
      </c>
      <c r="D397" s="9" t="n">
        <v>-0.04</v>
      </c>
      <c r="E397" s="9" t="n">
        <v>-0.1076</v>
      </c>
      <c r="F397" s="9" t="n">
        <v>-0.1676</v>
      </c>
      <c r="G397" s="20" t="inlineStr">
        <is>
          <t>]</t>
        </is>
      </c>
    </row>
    <row r="399">
      <c r="B399" s="7" t="inlineStr">
        <is>
          <t>Why =</t>
        </is>
      </c>
      <c r="C399" s="20" t="inlineStr">
        <is>
          <t>[</t>
        </is>
      </c>
      <c r="D399" s="12" t="n">
        <v>0.5</v>
      </c>
      <c r="E399" s="12" t="n">
        <v>-0.3</v>
      </c>
      <c r="F399" s="12" t="n">
        <v>0.4</v>
      </c>
      <c r="G399" s="20" t="inlineStr">
        <is>
          <t>]</t>
        </is>
      </c>
      <c r="I399" s="7" t="inlineStr">
        <is>
          <t>by =</t>
        </is>
      </c>
      <c r="J399" s="12" t="n">
        <v>0.1</v>
      </c>
    </row>
    <row r="401">
      <c r="B401" s="7" t="inlineStr">
        <is>
          <t>⑤ z_y = Why · h_final + by:</t>
        </is>
      </c>
    </row>
    <row r="402">
      <c r="B402" t="inlineStr">
        <is>
          <t xml:space="preserve">  = (0.5×-0.04) + (-0.3×-0.1076) + (0.4×-0.1676) + 0.1</t>
        </is>
      </c>
    </row>
    <row r="403">
      <c r="B403" s="12" t="inlineStr">
        <is>
          <t xml:space="preserve">  = 0.0452</t>
        </is>
      </c>
    </row>
    <row r="405">
      <c r="B405" s="7" t="inlineStr">
        <is>
          <t>⑥ y_pred = sigmoid(z_y):</t>
        </is>
      </c>
    </row>
    <row r="406">
      <c r="B406" t="inlineStr">
        <is>
          <t xml:space="preserve">  = sigmoid(0.0452)</t>
        </is>
      </c>
    </row>
    <row r="407">
      <c r="B407" t="inlineStr">
        <is>
          <t xml:space="preserve">  = 1 / (1 + exp(-0.0452))</t>
        </is>
      </c>
    </row>
    <row r="408">
      <c r="B408" s="7" t="inlineStr">
        <is>
          <t xml:space="preserve">  = 0.5113</t>
        </is>
      </c>
    </row>
    <row r="410">
      <c r="B410" s="15" t="inlineStr">
        <is>
          <t>⑦ BCE Loss:</t>
        </is>
      </c>
    </row>
    <row r="411">
      <c r="B411" t="inlineStr">
        <is>
          <t xml:space="preserve">  L = -(y·log(ŷ) + (1-y)·log(1-ŷ))</t>
        </is>
      </c>
    </row>
    <row r="412">
      <c r="B412" t="inlineStr">
        <is>
          <t xml:space="preserve">  = -(0×log(0.5113) + 1×log(0.4887))</t>
        </is>
      </c>
    </row>
    <row r="413">
      <c r="B413" s="15" t="inlineStr">
        <is>
          <t xml:space="preserve">  = 0.716</t>
        </is>
      </c>
    </row>
    <row r="417">
      <c r="B417" s="7" t="inlineStr">
        <is>
          <t>═══ Average Loss = (L₁ + L₂) / 2 = (0.5223 + 0.716) / 2 = 0.6191 ═══</t>
        </is>
      </c>
      <c r="C417" s="17" t="n"/>
      <c r="D417" s="17" t="n"/>
      <c r="E417" s="17" t="n"/>
      <c r="F417" s="17" t="n"/>
      <c r="G417" s="17" t="n"/>
      <c r="H417" s="17" t="n"/>
      <c r="I417" s="17" t="n"/>
      <c r="J417" s="17" t="n"/>
      <c r="K417" s="17" t="n"/>
      <c r="L417" s="17" t="n"/>
      <c r="M417" s="17" t="n"/>
      <c r="N417" s="17" t="n"/>
      <c r="O417" s="17" t="n"/>
      <c r="P417" s="17" t="n"/>
      <c r="Q417" s="17" t="n"/>
      <c r="R417" s="17" t="n"/>
      <c r="S417" s="17" t="n"/>
      <c r="T417" s="17" t="n"/>
      <c r="U417" s="17" t="n"/>
      <c r="V417" s="17" t="n"/>
      <c r="W417" s="17" t="n"/>
      <c r="X417" s="17" t="n"/>
      <c r="Y417" s="17" t="n"/>
      <c r="Z417" s="17" t="n"/>
      <c r="AA417" s="17" t="n"/>
      <c r="AB417" s="17" t="n"/>
      <c r="AC417" s="17" t="n"/>
      <c r="AD417" s="17" t="n"/>
      <c r="AE417" s="17" t="n"/>
      <c r="AF417" s="17" t="n"/>
      <c r="AG417" s="17" t="n"/>
      <c r="AH417" s="18" t="n"/>
    </row>
  </sheetData>
  <mergeCells count="16">
    <mergeCell ref="B105:L105"/>
    <mergeCell ref="B27:AH27"/>
    <mergeCell ref="B143:L143"/>
    <mergeCell ref="B281:L281"/>
    <mergeCell ref="B319:L319"/>
    <mergeCell ref="B219:L219"/>
    <mergeCell ref="B395:L395"/>
    <mergeCell ref="B29:L29"/>
    <mergeCell ref="B241:AH241"/>
    <mergeCell ref="B243:L243"/>
    <mergeCell ref="B417:AH417"/>
    <mergeCell ref="B2:AH2"/>
    <mergeCell ref="B4:T4"/>
    <mergeCell ref="B67:L67"/>
    <mergeCell ref="B357:L357"/>
    <mergeCell ref="B181:L18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AE30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</cols>
  <sheetData>
    <row r="2">
      <c r="B2" s="7" t="inlineStr">
        <is>
          <t>Step 3: Backward Propagation (BPTT) - Original → Gradient → Updated</t>
        </is>
      </c>
    </row>
    <row r="5">
      <c r="B5" s="7" t="inlineStr">
        <is>
          <t>═══ Output Layer (Why, by) ═══</t>
        </is>
      </c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8" t="n"/>
    </row>
    <row r="7">
      <c r="B7" s="7" t="inlineStr">
        <is>
          <t>Why Original</t>
        </is>
      </c>
      <c r="F7" s="3" t="inlineStr">
        <is>
          <t>−η×</t>
        </is>
      </c>
      <c r="H7" s="21" t="inlineStr">
        <is>
          <t>∂L/∂Why</t>
        </is>
      </c>
      <c r="L7" s="3" t="inlineStr">
        <is>
          <t>=</t>
        </is>
      </c>
      <c r="N7" s="22" t="inlineStr">
        <is>
          <t>Why Updated</t>
        </is>
      </c>
    </row>
    <row r="8">
      <c r="B8" s="12" t="n">
        <v>0.5</v>
      </c>
      <c r="C8" s="12" t="n">
        <v>-0.3</v>
      </c>
      <c r="D8" s="12" t="n">
        <v>0.4</v>
      </c>
      <c r="H8" s="23" t="n">
        <v>-0.0756</v>
      </c>
      <c r="I8" s="23" t="n">
        <v>-0.0418</v>
      </c>
      <c r="J8" s="23" t="n">
        <v>-0.1128</v>
      </c>
      <c r="N8" s="24" t="n">
        <v>0.5076000000000001</v>
      </c>
      <c r="O8" s="24" t="n">
        <v>-0.2958</v>
      </c>
      <c r="P8" s="24" t="n">
        <v>0.4113</v>
      </c>
    </row>
    <row r="10">
      <c r="B10" s="12" t="inlineStr">
        <is>
          <t>by Original</t>
        </is>
      </c>
      <c r="F10" s="3" t="inlineStr">
        <is>
          <t>−η×</t>
        </is>
      </c>
      <c r="H10" s="23" t="inlineStr">
        <is>
          <t>∂L/∂by</t>
        </is>
      </c>
      <c r="L10" s="3" t="inlineStr">
        <is>
          <t>=</t>
        </is>
      </c>
      <c r="N10" s="24" t="inlineStr">
        <is>
          <t>by Updated</t>
        </is>
      </c>
    </row>
    <row r="11">
      <c r="B11" s="12" t="n">
        <v>0.1</v>
      </c>
      <c r="H11" s="23" t="n">
        <v>0.0522</v>
      </c>
      <c r="N11" s="24" t="n">
        <v>0.0948</v>
      </c>
    </row>
    <row r="14">
      <c r="B14" s="4" t="inlineStr">
        <is>
          <t>═══ Hidden-to-Hidden (Whh) ═══</t>
        </is>
      </c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7" t="n"/>
      <c r="Z14" s="17" t="n"/>
      <c r="AA14" s="17" t="n"/>
      <c r="AB14" s="17" t="n"/>
      <c r="AC14" s="17" t="n"/>
      <c r="AD14" s="17" t="n"/>
      <c r="AE14" s="18" t="n"/>
    </row>
    <row r="16">
      <c r="B16" s="4" t="inlineStr">
        <is>
          <t>Whh Original</t>
        </is>
      </c>
      <c r="F16" s="3" t="inlineStr">
        <is>
          <t>−η×</t>
        </is>
      </c>
      <c r="H16" s="21" t="inlineStr">
        <is>
          <t>∂L/∂Whh</t>
        </is>
      </c>
      <c r="L16" s="3" t="inlineStr">
        <is>
          <t>=</t>
        </is>
      </c>
      <c r="N16" s="22" t="inlineStr">
        <is>
          <t>Whh Updated</t>
        </is>
      </c>
    </row>
    <row r="17">
      <c r="B17" s="9" t="n">
        <v>0.2</v>
      </c>
      <c r="C17" s="9" t="n">
        <v>-0.3</v>
      </c>
      <c r="D17" s="9" t="n">
        <v>0.1</v>
      </c>
      <c r="H17" s="23" t="n">
        <v>0.0002</v>
      </c>
      <c r="I17" s="23" t="n">
        <v>-0.0139</v>
      </c>
      <c r="J17" s="23" t="n">
        <v>0.0068</v>
      </c>
      <c r="N17" s="24" t="n">
        <v>0.2</v>
      </c>
      <c r="O17" s="24" t="n">
        <v>-0.2986</v>
      </c>
      <c r="P17" s="24" t="n">
        <v>0.0993</v>
      </c>
    </row>
    <row r="18">
      <c r="B18" s="9" t="n">
        <v>0.4</v>
      </c>
      <c r="C18" s="9" t="n">
        <v>0.1</v>
      </c>
      <c r="D18" s="9" t="n">
        <v>-0.2</v>
      </c>
      <c r="H18" s="23" t="n">
        <v>-0.0025</v>
      </c>
      <c r="I18" s="23" t="n">
        <v>0.0115</v>
      </c>
      <c r="J18" s="23" t="n">
        <v>-0.0102</v>
      </c>
      <c r="N18" s="24" t="n">
        <v>0.4003</v>
      </c>
      <c r="O18" s="24" t="n">
        <v>0.0989</v>
      </c>
      <c r="P18" s="24" t="n">
        <v>-0.199</v>
      </c>
    </row>
    <row r="19">
      <c r="B19" s="9" t="n">
        <v>-0.1</v>
      </c>
      <c r="C19" s="9" t="n">
        <v>0.3</v>
      </c>
      <c r="D19" s="9" t="n">
        <v>0.2</v>
      </c>
      <c r="H19" s="23" t="n">
        <v>0.0083</v>
      </c>
      <c r="I19" s="23" t="n">
        <v>-0.0153</v>
      </c>
      <c r="J19" s="23" t="n">
        <v>0.0122</v>
      </c>
      <c r="N19" s="24" t="n">
        <v>-0.1008</v>
      </c>
      <c r="O19" s="24" t="n">
        <v>0.3015</v>
      </c>
      <c r="P19" s="24" t="n">
        <v>0.1988</v>
      </c>
    </row>
    <row r="22">
      <c r="B22" s="2" t="inlineStr">
        <is>
          <t>═══ Embedding-to-Hidden (Wxh, bh) ═══</t>
        </is>
      </c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7" t="n"/>
      <c r="Z22" s="17" t="n"/>
      <c r="AA22" s="17" t="n"/>
      <c r="AB22" s="17" t="n"/>
      <c r="AC22" s="17" t="n"/>
      <c r="AD22" s="17" t="n"/>
      <c r="AE22" s="18" t="n"/>
    </row>
    <row r="24">
      <c r="B24" s="2" t="inlineStr">
        <is>
          <t>Wxh Original</t>
        </is>
      </c>
      <c r="G24" s="3" t="inlineStr">
        <is>
          <t>−η×</t>
        </is>
      </c>
      <c r="I24" s="21" t="inlineStr">
        <is>
          <t>∂L/∂Wxh</t>
        </is>
      </c>
      <c r="N24" s="3" t="inlineStr">
        <is>
          <t>=</t>
        </is>
      </c>
      <c r="P24" s="22" t="inlineStr">
        <is>
          <t>Wxh Updated</t>
        </is>
      </c>
    </row>
    <row r="25">
      <c r="B25" s="8" t="n">
        <v>0.3</v>
      </c>
      <c r="C25" s="8" t="n">
        <v>-0.2</v>
      </c>
      <c r="D25" s="8" t="n">
        <v>0.1</v>
      </c>
      <c r="E25" s="8" t="n">
        <v>0.4</v>
      </c>
      <c r="I25" s="23" t="n">
        <v>-0.1209</v>
      </c>
      <c r="J25" s="23" t="n">
        <v>-0.0958</v>
      </c>
      <c r="K25" s="23" t="n">
        <v>-0.08210000000000001</v>
      </c>
      <c r="L25" s="23" t="n">
        <v>-0.0493</v>
      </c>
      <c r="P25" s="24" t="n">
        <v>0.3121</v>
      </c>
      <c r="Q25" s="24" t="n">
        <v>-0.1904</v>
      </c>
      <c r="R25" s="24" t="n">
        <v>0.1082</v>
      </c>
      <c r="S25" s="24" t="n">
        <v>0.4049</v>
      </c>
    </row>
    <row r="26">
      <c r="B26" s="8" t="n">
        <v>-0.1</v>
      </c>
      <c r="C26" s="8" t="n">
        <v>0.4</v>
      </c>
      <c r="D26" s="8" t="n">
        <v>-0.3</v>
      </c>
      <c r="E26" s="8" t="n">
        <v>0.2</v>
      </c>
      <c r="I26" s="23" t="n">
        <v>0.0859</v>
      </c>
      <c r="J26" s="23" t="n">
        <v>0.0617</v>
      </c>
      <c r="K26" s="23" t="n">
        <v>0.0445</v>
      </c>
      <c r="L26" s="23" t="n">
        <v>0.0346</v>
      </c>
      <c r="P26" s="24" t="n">
        <v>-0.1086</v>
      </c>
      <c r="Q26" s="24" t="n">
        <v>0.3938</v>
      </c>
      <c r="R26" s="24" t="n">
        <v>-0.3045</v>
      </c>
      <c r="S26" s="24" t="n">
        <v>0.1965</v>
      </c>
    </row>
    <row r="27">
      <c r="B27" s="8" t="n">
        <v>0.2</v>
      </c>
      <c r="C27" s="8" t="n">
        <v>0.1</v>
      </c>
      <c r="D27" s="8" t="n">
        <v>0.4</v>
      </c>
      <c r="E27" s="8" t="n">
        <v>-0.2</v>
      </c>
      <c r="I27" s="23" t="n">
        <v>-0.1024</v>
      </c>
      <c r="J27" s="23" t="n">
        <v>-0.0794</v>
      </c>
      <c r="K27" s="23" t="n">
        <v>-0.0438</v>
      </c>
      <c r="L27" s="23" t="n">
        <v>-0.0461</v>
      </c>
      <c r="P27" s="24" t="n">
        <v>0.2102</v>
      </c>
      <c r="Q27" s="24" t="n">
        <v>0.1079</v>
      </c>
      <c r="R27" s="24" t="n">
        <v>0.4044</v>
      </c>
      <c r="S27" s="24" t="n">
        <v>-0.1954</v>
      </c>
    </row>
    <row r="29">
      <c r="B29" s="8" t="inlineStr">
        <is>
          <t>bh Original</t>
        </is>
      </c>
      <c r="G29" s="3" t="inlineStr">
        <is>
          <t>−η×</t>
        </is>
      </c>
      <c r="I29" s="23" t="inlineStr">
        <is>
          <t>∂L/∂bh</t>
        </is>
      </c>
      <c r="N29" s="3" t="inlineStr">
        <is>
          <t>=</t>
        </is>
      </c>
      <c r="P29" s="24" t="inlineStr">
        <is>
          <t>bh Updated</t>
        </is>
      </c>
    </row>
    <row r="30">
      <c r="B30" s="8" t="n">
        <v>0.1</v>
      </c>
      <c r="C30" s="8" t="n">
        <v>-0.1</v>
      </c>
      <c r="D30" s="8" t="n">
        <v>0.05</v>
      </c>
      <c r="I30" s="23" t="n">
        <v>0.0292</v>
      </c>
      <c r="J30" s="23" t="n">
        <v>-0.0135</v>
      </c>
      <c r="K30" s="23" t="n">
        <v>0.0429</v>
      </c>
      <c r="P30" s="24" t="n">
        <v>0.09710000000000001</v>
      </c>
      <c r="Q30" s="24" t="n">
        <v>-0.0987</v>
      </c>
      <c r="R30" s="24" t="n">
        <v>0.0457</v>
      </c>
    </row>
  </sheetData>
  <mergeCells count="4">
    <mergeCell ref="B22:AE22"/>
    <mergeCell ref="B2:AE2"/>
    <mergeCell ref="B14:AE14"/>
    <mergeCell ref="B5:AE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B2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2">
      <c r="B2" s="1">
        <f>== Answer Key ===</f>
        <v/>
      </c>
    </row>
    <row r="4">
      <c r="B4" s="13" t="inlineStr">
        <is>
          <t>Sentence 1: "this movie is very good"</t>
        </is>
      </c>
    </row>
    <row r="5">
      <c r="B5" s="3" t="inlineStr">
        <is>
          <t xml:space="preserve">  h_0 = [0.2449, 0.01, 0.0]</t>
        </is>
      </c>
    </row>
    <row r="6">
      <c r="B6" s="3" t="inlineStr">
        <is>
          <t xml:space="preserve">  h_1 = [0.2127, -0.011, 0.2529]</t>
        </is>
      </c>
    </row>
    <row r="7">
      <c r="B7" s="3" t="inlineStr">
        <is>
          <t xml:space="preserve">  h_2 = [0.15, 0.0134, 0.0957]</t>
        </is>
      </c>
    </row>
    <row r="8">
      <c r="B8" s="3" t="inlineStr">
        <is>
          <t xml:space="preserve">  h_3 = [0.2027, 0.1705, 0.0381]</t>
        </is>
      </c>
    </row>
    <row r="9">
      <c r="B9" s="3" t="inlineStr">
        <is>
          <t xml:space="preserve">  h_4 = [0.3214, 0.0704, 0.3439]</t>
        </is>
      </c>
    </row>
    <row r="10">
      <c r="B10" s="3" t="inlineStr">
        <is>
          <t xml:space="preserve">  y_pred = 0.5932</t>
        </is>
      </c>
    </row>
    <row r="11">
      <c r="B11" s="3" t="inlineStr">
        <is>
          <t xml:space="preserve">  Loss = 0.5223</t>
        </is>
      </c>
    </row>
    <row r="13">
      <c r="B13" s="15" t="inlineStr">
        <is>
          <t>Sentence 2: "this film is bad"</t>
        </is>
      </c>
    </row>
    <row r="14">
      <c r="B14" s="3" t="inlineStr">
        <is>
          <t xml:space="preserve">  h_0 = [0.2449, 0.01, 0.0]</t>
        </is>
      </c>
    </row>
    <row r="15">
      <c r="B15" s="3" t="inlineStr">
        <is>
          <t xml:space="preserve">  h_1 = [0.2127, -0.0709, 0.2622]</t>
        </is>
      </c>
    </row>
    <row r="16">
      <c r="B16" s="3" t="inlineStr">
        <is>
          <t xml:space="preserve">  h_2 = [0.1684, 0.0055, 0.0797]</t>
        </is>
      </c>
    </row>
    <row r="17">
      <c r="B17" s="3" t="inlineStr">
        <is>
          <t xml:space="preserve">  h_3 = [-0.04, -0.1076, -0.1676]</t>
        </is>
      </c>
    </row>
    <row r="18">
      <c r="B18" s="3" t="inlineStr">
        <is>
          <t xml:space="preserve">  y_pred = 0.5113</t>
        </is>
      </c>
    </row>
    <row r="19">
      <c r="B19" s="3" t="inlineStr">
        <is>
          <t xml:space="preserve">  Loss = 0.716</t>
        </is>
      </c>
    </row>
    <row r="21">
      <c r="B21" s="7" t="inlineStr">
        <is>
          <t>Average Loss = 0.6191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2026-01-20T05:18:01Z</dcterms:created>
  <dcterms:modified xmlns:dcterms="http://purl.org/dc/terms/" xmlns:xsi="http://www.w3.org/2001/XMLSchema-instance" xsi:type="dcterms:W3CDTF">2026-01-20T05:18:01Z</dcterms:modified>
</cp:coreProperties>
</file>