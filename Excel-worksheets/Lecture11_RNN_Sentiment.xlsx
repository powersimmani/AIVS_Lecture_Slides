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jihwankim/Downloads/Excel-worksheets 2/"/>
    </mc:Choice>
  </mc:AlternateContent>
  <xr:revisionPtr revIDLastSave="0" documentId="13_ncr:1_{66101824-FEE5-0D46-9CC9-48A3E77DC426}" xr6:coauthVersionLast="47" xr6:coauthVersionMax="47" xr10:uidLastSave="{00000000-0000-0000-0000-000000000000}"/>
  <bookViews>
    <workbookView xWindow="4300" yWindow="680" windowWidth="29900" windowHeight="19580" activeTab="4" xr2:uid="{00000000-000D-0000-FFFF-FFFF00000000}"/>
  </bookViews>
  <sheets>
    <sheet name="Overview" sheetId="1" r:id="rId1"/>
    <sheet name="Embedding" sheetId="2" r:id="rId2"/>
    <sheet name="Parameters" sheetId="3" r:id="rId3"/>
    <sheet name="Forward" sheetId="4" r:id="rId4"/>
    <sheet name="Backward" sheetId="5" r:id="rId5"/>
    <sheet name="Answer_Ke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90" i="4" l="1"/>
  <c r="C390" i="4"/>
  <c r="P389" i="4"/>
  <c r="C389" i="4"/>
  <c r="P388" i="4"/>
  <c r="C388" i="4"/>
  <c r="P385" i="4"/>
  <c r="C385" i="4"/>
  <c r="P384" i="4"/>
  <c r="C384" i="4"/>
  <c r="P383" i="4"/>
  <c r="C383" i="4"/>
  <c r="P378" i="4"/>
  <c r="C378" i="4"/>
  <c r="P377" i="4"/>
  <c r="C377" i="4"/>
  <c r="P376" i="4"/>
  <c r="C376" i="4"/>
  <c r="P369" i="4"/>
  <c r="C369" i="4"/>
  <c r="P368" i="4"/>
  <c r="C368" i="4"/>
  <c r="P367" i="4"/>
  <c r="C367" i="4"/>
  <c r="P352" i="4"/>
  <c r="C352" i="4"/>
  <c r="P351" i="4"/>
  <c r="C351" i="4"/>
  <c r="P350" i="4"/>
  <c r="C350" i="4"/>
  <c r="P347" i="4"/>
  <c r="C347" i="4"/>
  <c r="P346" i="4"/>
  <c r="C346" i="4"/>
  <c r="P345" i="4"/>
  <c r="C345" i="4"/>
  <c r="P340" i="4"/>
  <c r="C340" i="4"/>
  <c r="P339" i="4"/>
  <c r="C339" i="4"/>
  <c r="P338" i="4"/>
  <c r="C338" i="4"/>
  <c r="P331" i="4"/>
  <c r="C331" i="4"/>
  <c r="P330" i="4"/>
  <c r="C330" i="4"/>
  <c r="P329" i="4"/>
  <c r="C329" i="4"/>
  <c r="P314" i="4"/>
  <c r="C314" i="4"/>
  <c r="P313" i="4"/>
  <c r="C313" i="4"/>
  <c r="P312" i="4"/>
  <c r="C312" i="4"/>
  <c r="P309" i="4"/>
  <c r="C309" i="4"/>
  <c r="P308" i="4"/>
  <c r="C308" i="4"/>
  <c r="P307" i="4"/>
  <c r="C307" i="4"/>
  <c r="P302" i="4"/>
  <c r="C302" i="4"/>
  <c r="P301" i="4"/>
  <c r="C301" i="4"/>
  <c r="P300" i="4"/>
  <c r="C300" i="4"/>
  <c r="P293" i="4"/>
  <c r="C293" i="4"/>
  <c r="P292" i="4"/>
  <c r="C292" i="4"/>
  <c r="P291" i="4"/>
  <c r="C291" i="4"/>
  <c r="P276" i="4"/>
  <c r="C276" i="4"/>
  <c r="P275" i="4"/>
  <c r="C275" i="4"/>
  <c r="P274" i="4"/>
  <c r="C274" i="4"/>
  <c r="P271" i="4"/>
  <c r="C271" i="4"/>
  <c r="P270" i="4"/>
  <c r="C270" i="4"/>
  <c r="P269" i="4"/>
  <c r="C269" i="4"/>
  <c r="P264" i="4"/>
  <c r="C264" i="4"/>
  <c r="P263" i="4"/>
  <c r="C263" i="4"/>
  <c r="P262" i="4"/>
  <c r="C262" i="4"/>
  <c r="P255" i="4"/>
  <c r="C255" i="4"/>
  <c r="P254" i="4"/>
  <c r="C254" i="4"/>
  <c r="P253" i="4"/>
  <c r="C253" i="4"/>
  <c r="P214" i="4"/>
  <c r="C214" i="4"/>
  <c r="P213" i="4"/>
  <c r="C213" i="4"/>
  <c r="P212" i="4"/>
  <c r="C212" i="4"/>
  <c r="P209" i="4"/>
  <c r="C209" i="4"/>
  <c r="P208" i="4"/>
  <c r="C208" i="4"/>
  <c r="P207" i="4"/>
  <c r="C207" i="4"/>
  <c r="P202" i="4"/>
  <c r="C202" i="4"/>
  <c r="P201" i="4"/>
  <c r="C201" i="4"/>
  <c r="P200" i="4"/>
  <c r="C200" i="4"/>
  <c r="P193" i="4"/>
  <c r="C193" i="4"/>
  <c r="P192" i="4"/>
  <c r="C192" i="4"/>
  <c r="P191" i="4"/>
  <c r="C191" i="4"/>
  <c r="P176" i="4"/>
  <c r="C176" i="4"/>
  <c r="P175" i="4"/>
  <c r="C175" i="4"/>
  <c r="P174" i="4"/>
  <c r="C174" i="4"/>
  <c r="P171" i="4"/>
  <c r="C171" i="4"/>
  <c r="P170" i="4"/>
  <c r="C170" i="4"/>
  <c r="P169" i="4"/>
  <c r="C169" i="4"/>
  <c r="P164" i="4"/>
  <c r="C164" i="4"/>
  <c r="P163" i="4"/>
  <c r="C163" i="4"/>
  <c r="P162" i="4"/>
  <c r="C162" i="4"/>
  <c r="P155" i="4"/>
  <c r="C155" i="4"/>
  <c r="P154" i="4"/>
  <c r="C154" i="4"/>
  <c r="P153" i="4"/>
  <c r="C153" i="4"/>
  <c r="P138" i="4"/>
  <c r="C138" i="4"/>
  <c r="P137" i="4"/>
  <c r="C137" i="4"/>
  <c r="P136" i="4"/>
  <c r="C136" i="4"/>
  <c r="P133" i="4"/>
  <c r="C133" i="4"/>
  <c r="P132" i="4"/>
  <c r="C132" i="4"/>
  <c r="P131" i="4"/>
  <c r="C131" i="4"/>
  <c r="P126" i="4"/>
  <c r="C126" i="4"/>
  <c r="P125" i="4"/>
  <c r="C125" i="4"/>
  <c r="P124" i="4"/>
  <c r="C124" i="4"/>
  <c r="P117" i="4"/>
  <c r="C117" i="4"/>
  <c r="P116" i="4"/>
  <c r="C116" i="4"/>
  <c r="P115" i="4"/>
  <c r="C115" i="4"/>
  <c r="P100" i="4"/>
  <c r="C100" i="4"/>
  <c r="P99" i="4"/>
  <c r="C99" i="4"/>
  <c r="P98" i="4"/>
  <c r="C98" i="4"/>
  <c r="P95" i="4"/>
  <c r="C95" i="4"/>
  <c r="P94" i="4"/>
  <c r="C94" i="4"/>
  <c r="P93" i="4"/>
  <c r="C93" i="4"/>
  <c r="P88" i="4"/>
  <c r="C88" i="4"/>
  <c r="P87" i="4"/>
  <c r="C87" i="4"/>
  <c r="P86" i="4"/>
  <c r="C86" i="4"/>
  <c r="P79" i="4"/>
  <c r="C79" i="4"/>
  <c r="P78" i="4"/>
  <c r="C78" i="4"/>
  <c r="P77" i="4"/>
  <c r="C77" i="4"/>
  <c r="P62" i="4"/>
  <c r="C62" i="4"/>
  <c r="P61" i="4"/>
  <c r="C61" i="4"/>
  <c r="P60" i="4"/>
  <c r="C60" i="4"/>
  <c r="P57" i="4"/>
  <c r="C57" i="4"/>
  <c r="P56" i="4"/>
  <c r="C56" i="4"/>
  <c r="P55" i="4"/>
  <c r="C55" i="4"/>
  <c r="P50" i="4"/>
  <c r="C50" i="4"/>
  <c r="P49" i="4"/>
  <c r="C49" i="4"/>
  <c r="P48" i="4"/>
  <c r="C48" i="4"/>
  <c r="P41" i="4"/>
  <c r="C41" i="4"/>
  <c r="P40" i="4"/>
  <c r="C40" i="4"/>
  <c r="P39" i="4"/>
  <c r="C39" i="4"/>
</calcChain>
</file>

<file path=xl/sharedStrings.xml><?xml version="1.0" encoding="utf-8"?>
<sst xmlns="http://schemas.openxmlformats.org/spreadsheetml/2006/main" count="527" uniqueCount="160">
  <si>
    <t>[Description] RNN for sentiment analysis - classify text sequences (e.g., movie reviews) as positive or negative.</t>
  </si>
  <si>
    <t>RNN for Sentiment Analysis (Text Classification)</t>
  </si>
  <si>
    <t>Words → Word Embedding(4D) → RNN Hidden(3, tanh) → Output(1, Sigmoid) → BCE Loss</t>
  </si>
  <si>
    <t>Pipeline:</t>
  </si>
  <si>
    <t>Text</t>
  </si>
  <si>
    <t>→</t>
  </si>
  <si>
    <t>Token IDs</t>
  </si>
  <si>
    <t>Embedding</t>
  </si>
  <si>
    <t>RNN</t>
  </si>
  <si>
    <t>Output</t>
  </si>
  <si>
    <t>"this movie"</t>
  </si>
  <si>
    <t>[1, 2, ...]</t>
  </si>
  <si>
    <t>(seq, 4)</t>
  </si>
  <si>
    <t>h_t</t>
  </si>
  <si>
    <t>0/1</t>
  </si>
  <si>
    <t>Input Sentences (max 8 words):</t>
  </si>
  <si>
    <t>Sentence 1:</t>
  </si>
  <si>
    <t>"this movie is very good"</t>
  </si>
  <si>
    <t>y_true = 1 (Positive)</t>
  </si>
  <si>
    <t>Sentence 2:</t>
  </si>
  <si>
    <t>"this film is bad"</t>
  </si>
  <si>
    <t>y_true = 0 (Negative)</t>
  </si>
  <si>
    <t>[Description] Word embeddings: Convert discrete word tokens into dense continuous vectors that capture semantic meaning.</t>
  </si>
  <si>
    <t>Step 1: Word Embedding (Vocabulary → 4D Vectors)</t>
  </si>
  <si>
    <t>Vocabulary (11 words):</t>
  </si>
  <si>
    <t>Word</t>
  </si>
  <si>
    <t>ID</t>
  </si>
  <si>
    <t>Embedding (4D)</t>
  </si>
  <si>
    <t>&lt;PAD&gt;</t>
  </si>
  <si>
    <t>this</t>
  </si>
  <si>
    <t>movie</t>
  </si>
  <si>
    <t>is</t>
  </si>
  <si>
    <t>very</t>
  </si>
  <si>
    <t>good</t>
  </si>
  <si>
    <t>bad</t>
  </si>
  <si>
    <t>film</t>
  </si>
  <si>
    <t>great</t>
  </si>
  <si>
    <t>terrible</t>
  </si>
  <si>
    <t>not</t>
  </si>
  <si>
    <t>Sentence Embeddings:</t>
  </si>
  <si>
    <t>[Description] RNN parameters: Embedding matrix, input-to-hidden weights, hidden-to-hidden weights, output weights.</t>
  </si>
  <si>
    <t>RNN Parameters</t>
  </si>
  <si>
    <t>Wxh (3×4) - Embedding to Hidden</t>
  </si>
  <si>
    <t>bh (3)</t>
  </si>
  <si>
    <t>Whh (3×3) - Hidden to Hidden</t>
  </si>
  <si>
    <t>Why (1×3) - Hidden to Output</t>
  </si>
  <si>
    <t>by</t>
  </si>
  <si>
    <t>Formulas:</t>
  </si>
  <si>
    <t>h_t = tanh(Wxh·e_t + Whh·h_{t-1} + bh)</t>
  </si>
  <si>
    <t>y = σ(Why·h_final + by)</t>
  </si>
  <si>
    <t>[Description] Process each word sequentially, updating hidden state. Final hidden state summarizes the entire sequence.</t>
  </si>
  <si>
    <t>Step 2: RNN Forward Propagation (Detailed Calculations)</t>
  </si>
  <si>
    <t>═══ Parameters (Used in calculations below) ═══</t>
  </si>
  <si>
    <t>Wxh (3×4):</t>
  </si>
  <si>
    <t>bh (3):</t>
  </si>
  <si>
    <t>e[0]</t>
  </si>
  <si>
    <t>e[1]</t>
  </si>
  <si>
    <t>e[2]</t>
  </si>
  <si>
    <t>e[3]</t>
  </si>
  <si>
    <t>h[0]</t>
  </si>
  <si>
    <t>h[1]</t>
  </si>
  <si>
    <t>h[2]</t>
  </si>
  <si>
    <t>Whh (3×3):</t>
  </si>
  <si>
    <t>Why (1×3):</t>
  </si>
  <si>
    <t>by:</t>
  </si>
  <si>
    <t>h_t = tanh(Wxh · e_t + Whh · h_{t-1} + bh)</t>
  </si>
  <si>
    <t>y = sigmoid(Why · h_final + by)</t>
  </si>
  <si>
    <t>═══ Sentence 1: "this movie is very good" (y_true=1) ═══</t>
  </si>
  <si>
    <t>──── t=0: 'this' ────</t>
  </si>
  <si>
    <t>e_t =</t>
  </si>
  <si>
    <t>[</t>
  </si>
  <si>
    <t>]</t>
  </si>
  <si>
    <t>h_{t-1} =</t>
  </si>
  <si>
    <t>① Wxh · e_t:</t>
  </si>
  <si>
    <t xml:space="preserve">  Wxh =</t>
  </si>
  <si>
    <t>×</t>
  </si>
  <si>
    <t xml:space="preserve">  Calculation:</t>
  </si>
  <si>
    <t xml:space="preserve">  h[0]</t>
  </si>
  <si>
    <t xml:space="preserve">  h[1]</t>
  </si>
  <si>
    <t xml:space="preserve">  h[2]</t>
  </si>
  <si>
    <t>② Whh · h_{t-1}:</t>
  </si>
  <si>
    <t xml:space="preserve">  Whh =</t>
  </si>
  <si>
    <t>③ z_h = ① + ② + bh:</t>
  </si>
  <si>
    <t xml:space="preserve">  bh =</t>
  </si>
  <si>
    <t xml:space="preserve">  z_h[0]</t>
  </si>
  <si>
    <t xml:space="preserve">  z_h[1]</t>
  </si>
  <si>
    <t xml:space="preserve">  z_h[2]</t>
  </si>
  <si>
    <t>④ h_t = tanh(z_h):</t>
  </si>
  <si>
    <t xml:space="preserve">  h_t[0]</t>
  </si>
  <si>
    <t xml:space="preserve">  h_t[1]</t>
  </si>
  <si>
    <t xml:space="preserve">  h_t[2]</t>
  </si>
  <si>
    <t>→ h_t =</t>
  </si>
  <si>
    <t>──── t=1: 'movie' ────</t>
  </si>
  <si>
    <t>──── t=2: 'is' ────</t>
  </si>
  <si>
    <t>──── t=3: 'very' ────</t>
  </si>
  <si>
    <t>──── t=4: 'good' ────</t>
  </si>
  <si>
    <t>──── Output Calculation ────</t>
  </si>
  <si>
    <t>h_final =</t>
  </si>
  <si>
    <t>Why =</t>
  </si>
  <si>
    <t>by =</t>
  </si>
  <si>
    <t>⑤ z_y = Why · h_final + by:</t>
  </si>
  <si>
    <t xml:space="preserve">  = (0.5×0.3214) + (-0.3×0.0704) + (0.4×0.3439) + 0.1</t>
  </si>
  <si>
    <t xml:space="preserve">  = 0.3771</t>
  </si>
  <si>
    <t>⑥ y_pred = sigmoid(z_y):</t>
  </si>
  <si>
    <t xml:space="preserve">  = sigmoid(0.3771)</t>
  </si>
  <si>
    <t xml:space="preserve">  = 1 / (1 + exp(-0.3771))</t>
  </si>
  <si>
    <t xml:space="preserve">  = 0.5932</t>
  </si>
  <si>
    <t>⑦ BCE Loss:</t>
  </si>
  <si>
    <t xml:space="preserve">  L = -(y·log(ŷ) + (1-y)·log(1-ŷ))</t>
  </si>
  <si>
    <t xml:space="preserve">  = -(1×log(0.5932) + 0×log(0.4068))</t>
  </si>
  <si>
    <t xml:space="preserve">  = 0.5223</t>
  </si>
  <si>
    <t>═══ Sentence 2: "this film is bad" (y_true=0) ═══</t>
  </si>
  <si>
    <t>──── t=1: 'film' ────</t>
  </si>
  <si>
    <t>──── t=3: 'bad' ────</t>
  </si>
  <si>
    <t xml:space="preserve">  = (0.5×-0.04) + (-0.3×-0.1076) + (0.4×-0.1676) + 0.1</t>
  </si>
  <si>
    <t xml:space="preserve">  = 0.0452</t>
  </si>
  <si>
    <t xml:space="preserve">  = sigmoid(0.0452)</t>
  </si>
  <si>
    <t xml:space="preserve">  = 1 / (1 + exp(-0.0452))</t>
  </si>
  <si>
    <t xml:space="preserve">  = 0.5113</t>
  </si>
  <si>
    <t xml:space="preserve">  = -(0×log(0.5113) + 1×log(0.4887))</t>
  </si>
  <si>
    <t xml:space="preserve">  = 0.716</t>
  </si>
  <si>
    <t>═══ Average Loss = (L₁ + L₂) / 2 = (0.5223 + 0.716) / 2 = 0.6191 ═══</t>
  </si>
  <si>
    <t>[Description] Backpropagation through time (BPTT): Unroll RNN and compute gradients from output back to each time step.</t>
  </si>
  <si>
    <t>Step 3: Backward Propagation (BPTT) - Original → Gradient → Updated</t>
  </si>
  <si>
    <t>═══ Output Layer (Why, by) ═══</t>
  </si>
  <si>
    <t>Why Original</t>
  </si>
  <si>
    <t>−η×</t>
  </si>
  <si>
    <t>∂L/∂Why</t>
  </si>
  <si>
    <t>=</t>
  </si>
  <si>
    <t>Why Updated</t>
  </si>
  <si>
    <t>by Original</t>
  </si>
  <si>
    <t>∂L/∂by</t>
  </si>
  <si>
    <t>by Updated</t>
  </si>
  <si>
    <t>═══ Hidden-to-Hidden (Whh) ═══</t>
  </si>
  <si>
    <t>Whh Original</t>
  </si>
  <si>
    <t>∂L/∂Whh</t>
  </si>
  <si>
    <t>Whh Updated</t>
  </si>
  <si>
    <t>═══ Embedding-to-Hidden (Wxh, bh) ═══</t>
  </si>
  <si>
    <t>Wxh Original</t>
  </si>
  <si>
    <t>∂L/∂Wxh</t>
  </si>
  <si>
    <t>Wxh Updated</t>
  </si>
  <si>
    <t>bh Original</t>
  </si>
  <si>
    <t>∂L/∂bh</t>
  </si>
  <si>
    <t>bh Updated</t>
  </si>
  <si>
    <t>[Description] Reference solutions for self-checking your calculations.</t>
  </si>
  <si>
    <t>Sentence 1: "this movie is very good"</t>
  </si>
  <si>
    <t xml:space="preserve">  h_0 = [0.2449, 0.01, 0.0]</t>
  </si>
  <si>
    <t xml:space="preserve">  h_1 = [0.2127, -0.011, 0.2529]</t>
  </si>
  <si>
    <t xml:space="preserve">  h_2 = [0.15, 0.0134, 0.0957]</t>
  </si>
  <si>
    <t xml:space="preserve">  h_3 = [0.2027, 0.1705, 0.0381]</t>
  </si>
  <si>
    <t xml:space="preserve">  h_4 = [0.3214, 0.0704, 0.3439]</t>
  </si>
  <si>
    <t xml:space="preserve">  y_pred = 0.5932</t>
  </si>
  <si>
    <t xml:space="preserve">  Loss = 0.5223</t>
  </si>
  <si>
    <t>Sentence 2: "this film is bad"</t>
  </si>
  <si>
    <t xml:space="preserve">  h_1 = [0.2127, -0.0709, 0.2622]</t>
  </si>
  <si>
    <t xml:space="preserve">  h_2 = [0.1684, 0.0055, 0.0797]</t>
  </si>
  <si>
    <t xml:space="preserve">  h_3 = [-0.04, -0.1076, -0.1676]</t>
  </si>
  <si>
    <t xml:space="preserve">  y_pred = 0.5113</t>
  </si>
  <si>
    <t xml:space="preserve">  Loss = 0.716</t>
  </si>
  <si>
    <t>Average Loss = 0.6191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</si>
</sst>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0"/>
      <color rgb="FF50505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AEEF3"/>
        <bgColor rgb="FFDAEEF3"/>
      </patternFill>
    </fill>
    <fill>
      <patternFill patternType="solid">
        <fgColor rgb="FFD8E4BC"/>
        <bgColor rgb="FFD8E4BC"/>
      </patternFill>
    </fill>
    <fill>
      <patternFill patternType="solid">
        <fgColor rgb="FFFFF2CC"/>
        <bgColor rgb="FFFFF2CC"/>
      </patternFill>
    </fill>
    <fill>
      <patternFill patternType="solid">
        <fgColor rgb="FFFDE9D9"/>
        <bgColor rgb="FFFDE9D9"/>
      </patternFill>
    </fill>
    <fill>
      <patternFill patternType="solid">
        <fgColor rgb="FFE4DFEC"/>
        <bgColor rgb="FFE4DFEC"/>
      </patternFill>
    </fill>
    <fill>
      <patternFill patternType="solid">
        <fgColor rgb="FFFFE6CC"/>
        <bgColor rgb="FFFFE6CC"/>
      </patternFill>
    </fill>
    <fill>
      <patternFill patternType="solid">
        <fgColor rgb="FFCCE6FF"/>
        <bgColor rgb="FFCCE6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F0F8FF"/>
        <bgColor rgb="FFF0F8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2" fillId="12" borderId="0" xfId="0" applyFont="1" applyFill="1" applyAlignment="1">
      <alignment wrapText="1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5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"/>
  <sheetViews>
    <sheetView workbookViewId="0">
      <selection activeCell="F21" sqref="F21"/>
    </sheetView>
  </sheetViews>
  <sheetFormatPr baseColWidth="10" defaultColWidth="8.83203125" defaultRowHeight="15" x14ac:dyDescent="0.2"/>
  <cols>
    <col min="1" max="1" width="7" customWidth="1"/>
    <col min="2" max="2" width="30.83203125" customWidth="1"/>
    <col min="3" max="4" width="7" customWidth="1"/>
    <col min="5" max="5" width="22.33203125" customWidth="1"/>
    <col min="6" max="6" width="19.1640625" customWidth="1"/>
    <col min="7" max="9" width="7" customWidth="1"/>
    <col min="10" max="10" width="15.6640625" customWidth="1"/>
    <col min="11" max="11" width="7" customWidth="1"/>
    <col min="12" max="12" width="18.33203125" customWidth="1"/>
    <col min="13" max="21" width="7" customWidth="1"/>
  </cols>
  <sheetData>
    <row r="1" spans="1:26" x14ac:dyDescent="0.2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</row>
    <row r="2" spans="1:26" x14ac:dyDescent="0.2">
      <c r="B2" s="25" t="s">
        <v>1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7"/>
    </row>
    <row r="4" spans="1:26" x14ac:dyDescent="0.2">
      <c r="B4" s="25" t="s">
        <v>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7"/>
    </row>
    <row r="7" spans="1:26" x14ac:dyDescent="0.2">
      <c r="B7" s="1" t="s">
        <v>3</v>
      </c>
    </row>
    <row r="9" spans="1:26" x14ac:dyDescent="0.2">
      <c r="B9" s="2" t="s">
        <v>4</v>
      </c>
      <c r="E9" s="3" t="s">
        <v>5</v>
      </c>
      <c r="F9" s="4" t="s">
        <v>6</v>
      </c>
      <c r="I9" s="3" t="s">
        <v>5</v>
      </c>
      <c r="J9" s="5" t="s">
        <v>7</v>
      </c>
      <c r="M9" s="3" t="s">
        <v>5</v>
      </c>
      <c r="N9" s="6" t="s">
        <v>8</v>
      </c>
      <c r="Q9" s="3" t="s">
        <v>5</v>
      </c>
      <c r="R9" s="7" t="s">
        <v>9</v>
      </c>
    </row>
    <row r="10" spans="1:26" x14ac:dyDescent="0.2">
      <c r="B10" s="8" t="s">
        <v>10</v>
      </c>
      <c r="F10" s="9" t="s">
        <v>11</v>
      </c>
      <c r="J10" s="10" t="s">
        <v>12</v>
      </c>
      <c r="N10" s="11" t="s">
        <v>13</v>
      </c>
      <c r="R10" s="12" t="s">
        <v>14</v>
      </c>
    </row>
    <row r="13" spans="1:26" x14ac:dyDescent="0.2">
      <c r="B13" s="2" t="s">
        <v>15</v>
      </c>
    </row>
    <row r="15" spans="1:26" x14ac:dyDescent="0.2">
      <c r="B15" s="13" t="s">
        <v>16</v>
      </c>
      <c r="E15" s="14" t="s">
        <v>17</v>
      </c>
      <c r="L15" s="14" t="s">
        <v>18</v>
      </c>
    </row>
    <row r="16" spans="1:26" x14ac:dyDescent="0.2">
      <c r="B16" s="15" t="s">
        <v>19</v>
      </c>
      <c r="E16" s="16" t="s">
        <v>20</v>
      </c>
      <c r="L16" s="16" t="s">
        <v>21</v>
      </c>
    </row>
  </sheetData>
  <mergeCells count="3">
    <mergeCell ref="A1:J1"/>
    <mergeCell ref="B2:Z2"/>
    <mergeCell ref="B4:Z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6"/>
  <sheetViews>
    <sheetView topLeftCell="A9" workbookViewId="0">
      <selection activeCell="H22" sqref="H22"/>
    </sheetView>
  </sheetViews>
  <sheetFormatPr baseColWidth="10" defaultColWidth="8.83203125" defaultRowHeight="15" x14ac:dyDescent="0.2"/>
  <cols>
    <col min="1" max="1" width="8" customWidth="1"/>
    <col min="2" max="2" width="22.6640625" customWidth="1"/>
    <col min="3" max="5" width="8" customWidth="1"/>
    <col min="6" max="6" width="14.5" customWidth="1"/>
    <col min="7" max="13" width="8" customWidth="1"/>
  </cols>
  <sheetData>
    <row r="1" spans="1:20" x14ac:dyDescent="0.2">
      <c r="A1" s="23" t="s">
        <v>22</v>
      </c>
      <c r="B1" s="24"/>
      <c r="C1" s="24"/>
      <c r="D1" s="24"/>
      <c r="E1" s="24"/>
      <c r="F1" s="24"/>
      <c r="G1" s="24"/>
      <c r="H1" s="24"/>
      <c r="I1" s="24"/>
      <c r="J1" s="24"/>
    </row>
    <row r="2" spans="1:20" x14ac:dyDescent="0.2">
      <c r="B2" s="28" t="s">
        <v>23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7"/>
    </row>
    <row r="5" spans="1:20" x14ac:dyDescent="0.2">
      <c r="B5" s="1" t="s">
        <v>24</v>
      </c>
    </row>
    <row r="7" spans="1:20" x14ac:dyDescent="0.2">
      <c r="B7" s="1" t="s">
        <v>25</v>
      </c>
      <c r="D7" s="1" t="s">
        <v>26</v>
      </c>
      <c r="F7" s="5" t="s">
        <v>27</v>
      </c>
    </row>
    <row r="8" spans="1:20" x14ac:dyDescent="0.2">
      <c r="B8" s="8" t="s">
        <v>28</v>
      </c>
      <c r="D8" s="9">
        <v>0</v>
      </c>
      <c r="F8" s="10">
        <v>0</v>
      </c>
      <c r="G8" s="10">
        <v>0</v>
      </c>
      <c r="H8" s="10">
        <v>0</v>
      </c>
      <c r="I8" s="10">
        <v>0</v>
      </c>
    </row>
    <row r="9" spans="1:20" x14ac:dyDescent="0.2">
      <c r="B9" s="8" t="s">
        <v>29</v>
      </c>
      <c r="D9" s="9">
        <v>1</v>
      </c>
      <c r="F9" s="10">
        <v>0.2</v>
      </c>
      <c r="G9" s="10">
        <v>0.1</v>
      </c>
      <c r="H9" s="10">
        <v>-0.1</v>
      </c>
      <c r="I9" s="10">
        <v>0.3</v>
      </c>
    </row>
    <row r="10" spans="1:20" x14ac:dyDescent="0.2">
      <c r="B10" s="8" t="s">
        <v>30</v>
      </c>
      <c r="D10" s="9">
        <v>2</v>
      </c>
      <c r="F10" s="10">
        <v>0.5</v>
      </c>
      <c r="G10" s="10">
        <v>0.3</v>
      </c>
      <c r="H10" s="10">
        <v>0.2</v>
      </c>
      <c r="I10" s="10">
        <v>-0.1</v>
      </c>
    </row>
    <row r="11" spans="1:20" x14ac:dyDescent="0.2">
      <c r="B11" s="8" t="s">
        <v>31</v>
      </c>
      <c r="D11" s="9">
        <v>3</v>
      </c>
      <c r="F11" s="10">
        <v>-0.1</v>
      </c>
      <c r="G11" s="10">
        <v>0.2</v>
      </c>
      <c r="H11" s="10">
        <v>0.1</v>
      </c>
      <c r="I11" s="10">
        <v>0.1</v>
      </c>
    </row>
    <row r="12" spans="1:20" x14ac:dyDescent="0.2">
      <c r="B12" s="8" t="s">
        <v>32</v>
      </c>
      <c r="D12" s="9">
        <v>4</v>
      </c>
      <c r="F12" s="10">
        <v>0.3</v>
      </c>
      <c r="G12" s="10">
        <v>0.4</v>
      </c>
      <c r="H12" s="10">
        <v>-0.2</v>
      </c>
      <c r="I12" s="10">
        <v>0.2</v>
      </c>
    </row>
    <row r="13" spans="1:20" x14ac:dyDescent="0.2">
      <c r="B13" s="8" t="s">
        <v>33</v>
      </c>
      <c r="D13" s="9">
        <v>5</v>
      </c>
      <c r="F13" s="10">
        <v>0.6</v>
      </c>
      <c r="G13" s="10">
        <v>0.5</v>
      </c>
      <c r="H13" s="10">
        <v>0.4</v>
      </c>
      <c r="I13" s="10">
        <v>0.3</v>
      </c>
    </row>
    <row r="14" spans="1:20" x14ac:dyDescent="0.2">
      <c r="B14" s="8" t="s">
        <v>34</v>
      </c>
      <c r="D14" s="9">
        <v>6</v>
      </c>
      <c r="F14" s="10">
        <v>-0.5</v>
      </c>
      <c r="G14" s="10">
        <v>-0.4</v>
      </c>
      <c r="H14" s="10">
        <v>-0.3</v>
      </c>
      <c r="I14" s="10">
        <v>-0.2</v>
      </c>
    </row>
    <row r="15" spans="1:20" x14ac:dyDescent="0.2">
      <c r="B15" s="8" t="s">
        <v>35</v>
      </c>
      <c r="D15" s="9">
        <v>7</v>
      </c>
      <c r="F15" s="10">
        <v>0.4</v>
      </c>
      <c r="G15" s="10">
        <v>0.2</v>
      </c>
      <c r="H15" s="10">
        <v>0.3</v>
      </c>
      <c r="I15" s="10">
        <v>-0.1</v>
      </c>
    </row>
    <row r="16" spans="1:20" x14ac:dyDescent="0.2">
      <c r="B16" s="8" t="s">
        <v>36</v>
      </c>
      <c r="D16" s="9">
        <v>8</v>
      </c>
      <c r="F16" s="10">
        <v>0.7</v>
      </c>
      <c r="G16" s="10">
        <v>0.6</v>
      </c>
      <c r="H16" s="10">
        <v>0.5</v>
      </c>
      <c r="I16" s="10">
        <v>0.4</v>
      </c>
    </row>
    <row r="17" spans="2:9" x14ac:dyDescent="0.2">
      <c r="B17" s="8" t="s">
        <v>37</v>
      </c>
      <c r="D17" s="9">
        <v>9</v>
      </c>
      <c r="F17" s="10">
        <v>-0.6</v>
      </c>
      <c r="G17" s="10">
        <v>-0.5</v>
      </c>
      <c r="H17" s="10">
        <v>-0.4</v>
      </c>
      <c r="I17" s="10">
        <v>-0.3</v>
      </c>
    </row>
    <row r="18" spans="2:9" x14ac:dyDescent="0.2">
      <c r="B18" s="8" t="s">
        <v>38</v>
      </c>
      <c r="D18" s="9">
        <v>10</v>
      </c>
      <c r="F18" s="10">
        <v>0.1</v>
      </c>
      <c r="G18" s="10">
        <v>-0.1</v>
      </c>
      <c r="H18" s="10">
        <v>0.2</v>
      </c>
      <c r="I18" s="10">
        <v>-0.2</v>
      </c>
    </row>
    <row r="21" spans="2:9" x14ac:dyDescent="0.2">
      <c r="B21" s="1" t="s">
        <v>39</v>
      </c>
    </row>
    <row r="23" spans="2:9" x14ac:dyDescent="0.2">
      <c r="B23" s="13" t="s">
        <v>16</v>
      </c>
    </row>
    <row r="24" spans="2:9" x14ac:dyDescent="0.2">
      <c r="B24" s="3" t="s">
        <v>25</v>
      </c>
      <c r="D24" s="3" t="s">
        <v>26</v>
      </c>
      <c r="F24" s="3" t="s">
        <v>7</v>
      </c>
    </row>
    <row r="25" spans="2:9" x14ac:dyDescent="0.2">
      <c r="B25" s="8" t="s">
        <v>29</v>
      </c>
      <c r="D25" s="9">
        <v>1</v>
      </c>
      <c r="F25" s="10">
        <v>0.2</v>
      </c>
      <c r="G25" s="10">
        <v>0.1</v>
      </c>
      <c r="H25" s="10">
        <v>-0.1</v>
      </c>
      <c r="I25" s="10">
        <v>0.3</v>
      </c>
    </row>
    <row r="26" spans="2:9" x14ac:dyDescent="0.2">
      <c r="B26" s="8" t="s">
        <v>30</v>
      </c>
      <c r="D26" s="9">
        <v>2</v>
      </c>
      <c r="F26" s="10">
        <v>0.5</v>
      </c>
      <c r="G26" s="10">
        <v>0.3</v>
      </c>
      <c r="H26" s="10">
        <v>0.2</v>
      </c>
      <c r="I26" s="10">
        <v>-0.1</v>
      </c>
    </row>
    <row r="27" spans="2:9" x14ac:dyDescent="0.2">
      <c r="B27" s="8" t="s">
        <v>31</v>
      </c>
      <c r="D27" s="9">
        <v>3</v>
      </c>
      <c r="F27" s="10">
        <v>-0.1</v>
      </c>
      <c r="G27" s="10">
        <v>0.2</v>
      </c>
      <c r="H27" s="10">
        <v>0.1</v>
      </c>
      <c r="I27" s="10">
        <v>0.1</v>
      </c>
    </row>
    <row r="28" spans="2:9" x14ac:dyDescent="0.2">
      <c r="B28" s="8" t="s">
        <v>32</v>
      </c>
      <c r="D28" s="9">
        <v>4</v>
      </c>
      <c r="F28" s="10">
        <v>0.3</v>
      </c>
      <c r="G28" s="10">
        <v>0.4</v>
      </c>
      <c r="H28" s="10">
        <v>-0.2</v>
      </c>
      <c r="I28" s="10">
        <v>0.2</v>
      </c>
    </row>
    <row r="29" spans="2:9" x14ac:dyDescent="0.2">
      <c r="B29" s="8" t="s">
        <v>33</v>
      </c>
      <c r="D29" s="9">
        <v>5</v>
      </c>
      <c r="F29" s="10">
        <v>0.6</v>
      </c>
      <c r="G29" s="10">
        <v>0.5</v>
      </c>
      <c r="H29" s="10">
        <v>0.4</v>
      </c>
      <c r="I29" s="10">
        <v>0.3</v>
      </c>
    </row>
    <row r="31" spans="2:9" x14ac:dyDescent="0.2">
      <c r="B31" s="15" t="s">
        <v>19</v>
      </c>
    </row>
    <row r="32" spans="2:9" x14ac:dyDescent="0.2">
      <c r="B32" s="3" t="s">
        <v>25</v>
      </c>
      <c r="D32" s="3" t="s">
        <v>26</v>
      </c>
      <c r="F32" s="3" t="s">
        <v>7</v>
      </c>
    </row>
    <row r="33" spans="2:9" x14ac:dyDescent="0.2">
      <c r="B33" s="8" t="s">
        <v>29</v>
      </c>
      <c r="D33" s="9">
        <v>1</v>
      </c>
      <c r="F33" s="10">
        <v>0.2</v>
      </c>
      <c r="G33" s="10">
        <v>0.1</v>
      </c>
      <c r="H33" s="10">
        <v>-0.1</v>
      </c>
      <c r="I33" s="10">
        <v>0.3</v>
      </c>
    </row>
    <row r="34" spans="2:9" x14ac:dyDescent="0.2">
      <c r="B34" s="8" t="s">
        <v>35</v>
      </c>
      <c r="D34" s="9">
        <v>7</v>
      </c>
      <c r="F34" s="10">
        <v>0.4</v>
      </c>
      <c r="G34" s="10">
        <v>0.2</v>
      </c>
      <c r="H34" s="10">
        <v>0.3</v>
      </c>
      <c r="I34" s="10">
        <v>-0.1</v>
      </c>
    </row>
    <row r="35" spans="2:9" x14ac:dyDescent="0.2">
      <c r="B35" s="8" t="s">
        <v>31</v>
      </c>
      <c r="D35" s="9">
        <v>3</v>
      </c>
      <c r="F35" s="10">
        <v>-0.1</v>
      </c>
      <c r="G35" s="10">
        <v>0.2</v>
      </c>
      <c r="H35" s="10">
        <v>0.1</v>
      </c>
      <c r="I35" s="10">
        <v>0.1</v>
      </c>
    </row>
    <row r="36" spans="2:9" x14ac:dyDescent="0.2">
      <c r="B36" s="8" t="s">
        <v>34</v>
      </c>
      <c r="D36" s="9">
        <v>6</v>
      </c>
      <c r="F36" s="10">
        <v>-0.5</v>
      </c>
      <c r="G36" s="10">
        <v>-0.4</v>
      </c>
      <c r="H36" s="10">
        <v>-0.3</v>
      </c>
      <c r="I36" s="10">
        <v>-0.2</v>
      </c>
    </row>
  </sheetData>
  <mergeCells count="2">
    <mergeCell ref="A1:J1"/>
    <mergeCell ref="B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3"/>
  <sheetViews>
    <sheetView workbookViewId="0">
      <selection sqref="A1:J1"/>
    </sheetView>
  </sheetViews>
  <sheetFormatPr baseColWidth="10" defaultColWidth="8.83203125" defaultRowHeight="15" x14ac:dyDescent="0.2"/>
  <cols>
    <col min="1" max="1" width="18.1640625" customWidth="1"/>
    <col min="2" max="2" width="25.33203125" customWidth="1"/>
    <col min="3" max="11" width="8" customWidth="1"/>
  </cols>
  <sheetData>
    <row r="1" spans="1:18" x14ac:dyDescent="0.2">
      <c r="A1" s="23" t="s">
        <v>40</v>
      </c>
      <c r="B1" s="24"/>
      <c r="C1" s="24"/>
      <c r="D1" s="24"/>
      <c r="E1" s="24"/>
      <c r="F1" s="24"/>
      <c r="G1" s="24"/>
      <c r="H1" s="24"/>
      <c r="I1" s="24"/>
      <c r="J1" s="24"/>
    </row>
    <row r="2" spans="1:18" x14ac:dyDescent="0.2">
      <c r="B2" s="25" t="s">
        <v>41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7"/>
    </row>
    <row r="5" spans="1:18" x14ac:dyDescent="0.2">
      <c r="B5" s="2" t="s">
        <v>42</v>
      </c>
      <c r="H5" s="2" t="s">
        <v>43</v>
      </c>
    </row>
    <row r="6" spans="1:18" x14ac:dyDescent="0.2">
      <c r="B6" s="8">
        <v>0.3</v>
      </c>
      <c r="C6" s="8">
        <v>-0.2</v>
      </c>
      <c r="D6" s="8">
        <v>0.1</v>
      </c>
      <c r="E6" s="8">
        <v>0.4</v>
      </c>
      <c r="H6" s="8">
        <v>0.1</v>
      </c>
    </row>
    <row r="7" spans="1:18" x14ac:dyDescent="0.2">
      <c r="B7" s="8">
        <v>-0.1</v>
      </c>
      <c r="C7" s="8">
        <v>0.4</v>
      </c>
      <c r="D7" s="8">
        <v>-0.3</v>
      </c>
      <c r="E7" s="8">
        <v>0.2</v>
      </c>
      <c r="H7" s="8">
        <v>-0.1</v>
      </c>
    </row>
    <row r="8" spans="1:18" x14ac:dyDescent="0.2">
      <c r="B8" s="8">
        <v>0.2</v>
      </c>
      <c r="C8" s="8">
        <v>0.1</v>
      </c>
      <c r="D8" s="8">
        <v>0.4</v>
      </c>
      <c r="E8" s="8">
        <v>-0.2</v>
      </c>
      <c r="H8" s="8">
        <v>0.05</v>
      </c>
    </row>
    <row r="11" spans="1:18" x14ac:dyDescent="0.2">
      <c r="B11" s="4" t="s">
        <v>44</v>
      </c>
    </row>
    <row r="12" spans="1:18" x14ac:dyDescent="0.2">
      <c r="B12" s="9">
        <v>0.2</v>
      </c>
      <c r="C12" s="9">
        <v>-0.3</v>
      </c>
      <c r="D12" s="9">
        <v>0.1</v>
      </c>
    </row>
    <row r="13" spans="1:18" x14ac:dyDescent="0.2">
      <c r="B13" s="9">
        <v>0.4</v>
      </c>
      <c r="C13" s="9">
        <v>0.1</v>
      </c>
      <c r="D13" s="9">
        <v>-0.2</v>
      </c>
    </row>
    <row r="14" spans="1:18" x14ac:dyDescent="0.2">
      <c r="B14" s="9">
        <v>-0.1</v>
      </c>
      <c r="C14" s="9">
        <v>0.3</v>
      </c>
      <c r="D14" s="9">
        <v>0.2</v>
      </c>
    </row>
    <row r="17" spans="2:7" x14ac:dyDescent="0.2">
      <c r="B17" s="7" t="s">
        <v>45</v>
      </c>
      <c r="G17" s="7" t="s">
        <v>46</v>
      </c>
    </row>
    <row r="18" spans="2:7" x14ac:dyDescent="0.2">
      <c r="B18" s="12">
        <v>0.5</v>
      </c>
      <c r="C18" s="12">
        <v>-0.3</v>
      </c>
      <c r="D18" s="12">
        <v>0.4</v>
      </c>
      <c r="G18" s="12">
        <v>0.1</v>
      </c>
    </row>
    <row r="21" spans="2:7" x14ac:dyDescent="0.2">
      <c r="B21" s="1" t="s">
        <v>47</v>
      </c>
    </row>
    <row r="22" spans="2:7" x14ac:dyDescent="0.2">
      <c r="B22" s="3" t="s">
        <v>48</v>
      </c>
    </row>
    <row r="23" spans="2:7" x14ac:dyDescent="0.2">
      <c r="B23" s="3" t="s">
        <v>49</v>
      </c>
    </row>
  </sheetData>
  <mergeCells count="2">
    <mergeCell ref="B2:R2"/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417"/>
  <sheetViews>
    <sheetView topLeftCell="A400" workbookViewId="0">
      <selection sqref="A1:J1"/>
    </sheetView>
  </sheetViews>
  <sheetFormatPr baseColWidth="10" defaultColWidth="8.83203125" defaultRowHeight="15" x14ac:dyDescent="0.2"/>
  <cols>
    <col min="1" max="1" width="9" customWidth="1"/>
    <col min="2" max="2" width="22" customWidth="1"/>
    <col min="3" max="21" width="9" customWidth="1"/>
  </cols>
  <sheetData>
    <row r="1" spans="1:34" x14ac:dyDescent="0.2">
      <c r="A1" s="23" t="s">
        <v>50</v>
      </c>
      <c r="B1" s="24"/>
      <c r="C1" s="24"/>
      <c r="D1" s="24"/>
      <c r="E1" s="24"/>
      <c r="F1" s="24"/>
      <c r="G1" s="24"/>
      <c r="H1" s="24"/>
      <c r="I1" s="24"/>
      <c r="J1" s="24"/>
    </row>
    <row r="2" spans="1:34" x14ac:dyDescent="0.2">
      <c r="B2" s="30" t="s">
        <v>51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7"/>
    </row>
    <row r="4" spans="1:34" x14ac:dyDescent="0.2">
      <c r="B4" s="25" t="s">
        <v>52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7"/>
    </row>
    <row r="6" spans="1:34" x14ac:dyDescent="0.2">
      <c r="B6" s="2" t="s">
        <v>53</v>
      </c>
      <c r="H6" s="2" t="s">
        <v>54</v>
      </c>
    </row>
    <row r="7" spans="1:34" x14ac:dyDescent="0.2">
      <c r="C7" s="3" t="s">
        <v>55</v>
      </c>
      <c r="D7" s="3" t="s">
        <v>56</v>
      </c>
      <c r="E7" s="3" t="s">
        <v>57</v>
      </c>
      <c r="F7" s="3" t="s">
        <v>58</v>
      </c>
    </row>
    <row r="8" spans="1:34" x14ac:dyDescent="0.2">
      <c r="B8" s="3" t="s">
        <v>59</v>
      </c>
      <c r="C8" s="8">
        <v>0.3</v>
      </c>
      <c r="D8" s="8">
        <v>-0.2</v>
      </c>
      <c r="E8" s="8">
        <v>0.1</v>
      </c>
      <c r="F8" s="8">
        <v>0.4</v>
      </c>
      <c r="H8" s="8">
        <v>0.1</v>
      </c>
    </row>
    <row r="9" spans="1:34" x14ac:dyDescent="0.2">
      <c r="B9" s="3" t="s">
        <v>60</v>
      </c>
      <c r="C9" s="8">
        <v>-0.1</v>
      </c>
      <c r="D9" s="8">
        <v>0.4</v>
      </c>
      <c r="E9" s="8">
        <v>-0.3</v>
      </c>
      <c r="F9" s="8">
        <v>0.2</v>
      </c>
      <c r="H9" s="8">
        <v>-0.1</v>
      </c>
    </row>
    <row r="10" spans="1:34" x14ac:dyDescent="0.2">
      <c r="B10" s="3" t="s">
        <v>61</v>
      </c>
      <c r="C10" s="8">
        <v>0.2</v>
      </c>
      <c r="D10" s="8">
        <v>0.1</v>
      </c>
      <c r="E10" s="8">
        <v>0.4</v>
      </c>
      <c r="F10" s="8">
        <v>-0.2</v>
      </c>
      <c r="H10" s="8">
        <v>0.05</v>
      </c>
    </row>
    <row r="12" spans="1:34" x14ac:dyDescent="0.2">
      <c r="B12" s="4" t="s">
        <v>62</v>
      </c>
    </row>
    <row r="13" spans="1:34" x14ac:dyDescent="0.2">
      <c r="C13" s="3" t="s">
        <v>59</v>
      </c>
      <c r="D13" s="3" t="s">
        <v>60</v>
      </c>
      <c r="E13" s="3" t="s">
        <v>61</v>
      </c>
    </row>
    <row r="14" spans="1:34" x14ac:dyDescent="0.2">
      <c r="B14" s="3" t="s">
        <v>59</v>
      </c>
      <c r="C14" s="9">
        <v>0.2</v>
      </c>
      <c r="D14" s="9">
        <v>-0.3</v>
      </c>
      <c r="E14" s="9">
        <v>0.1</v>
      </c>
    </row>
    <row r="15" spans="1:34" x14ac:dyDescent="0.2">
      <c r="B15" s="3" t="s">
        <v>60</v>
      </c>
      <c r="C15" s="9">
        <v>0.4</v>
      </c>
      <c r="D15" s="9">
        <v>0.1</v>
      </c>
      <c r="E15" s="9">
        <v>-0.2</v>
      </c>
    </row>
    <row r="16" spans="1:34" x14ac:dyDescent="0.2">
      <c r="B16" s="3" t="s">
        <v>61</v>
      </c>
      <c r="C16" s="9">
        <v>-0.1</v>
      </c>
      <c r="D16" s="9">
        <v>0.3</v>
      </c>
      <c r="E16" s="9">
        <v>0.2</v>
      </c>
    </row>
    <row r="18" spans="2:34" x14ac:dyDescent="0.2">
      <c r="B18" s="7" t="s">
        <v>63</v>
      </c>
      <c r="G18" s="7" t="s">
        <v>64</v>
      </c>
    </row>
    <row r="19" spans="2:34" x14ac:dyDescent="0.2">
      <c r="C19" s="3" t="s">
        <v>59</v>
      </c>
      <c r="D19" s="3" t="s">
        <v>60</v>
      </c>
      <c r="E19" s="3" t="s">
        <v>61</v>
      </c>
    </row>
    <row r="20" spans="2:34" x14ac:dyDescent="0.2">
      <c r="C20" s="12">
        <v>0.5</v>
      </c>
      <c r="D20" s="12">
        <v>-0.3</v>
      </c>
      <c r="E20" s="12">
        <v>0.4</v>
      </c>
      <c r="G20" s="12">
        <v>0.1</v>
      </c>
    </row>
    <row r="22" spans="2:34" x14ac:dyDescent="0.2">
      <c r="B22" s="1" t="s">
        <v>47</v>
      </c>
    </row>
    <row r="23" spans="2:34" x14ac:dyDescent="0.2">
      <c r="B23" s="17" t="s">
        <v>65</v>
      </c>
    </row>
    <row r="24" spans="2:34" x14ac:dyDescent="0.2">
      <c r="B24" s="17" t="s">
        <v>66</v>
      </c>
    </row>
    <row r="27" spans="2:34" x14ac:dyDescent="0.2">
      <c r="B27" s="33" t="s">
        <v>67</v>
      </c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7"/>
    </row>
    <row r="29" spans="2:34" x14ac:dyDescent="0.2">
      <c r="B29" s="31" t="s">
        <v>68</v>
      </c>
      <c r="C29" s="26"/>
      <c r="D29" s="26"/>
      <c r="E29" s="26"/>
      <c r="F29" s="26"/>
      <c r="G29" s="26"/>
      <c r="H29" s="26"/>
      <c r="I29" s="26"/>
      <c r="J29" s="26"/>
      <c r="K29" s="26"/>
      <c r="L29" s="27"/>
    </row>
    <row r="30" spans="2:34" x14ac:dyDescent="0.2">
      <c r="B30" s="5" t="s">
        <v>69</v>
      </c>
      <c r="C30" s="18" t="s">
        <v>70</v>
      </c>
      <c r="D30" s="10">
        <v>0.2</v>
      </c>
      <c r="E30" s="10">
        <v>0.1</v>
      </c>
      <c r="F30" s="10">
        <v>-0.1</v>
      </c>
      <c r="G30" s="10">
        <v>0.3</v>
      </c>
      <c r="H30" s="18" t="s">
        <v>71</v>
      </c>
    </row>
    <row r="31" spans="2:34" x14ac:dyDescent="0.2">
      <c r="B31" s="1" t="s">
        <v>72</v>
      </c>
      <c r="C31" s="18" t="s">
        <v>70</v>
      </c>
      <c r="D31" s="3">
        <v>0</v>
      </c>
      <c r="E31" s="3">
        <v>0</v>
      </c>
      <c r="F31" s="3">
        <v>0</v>
      </c>
      <c r="G31" s="18" t="s">
        <v>71</v>
      </c>
    </row>
    <row r="33" spans="2:16" x14ac:dyDescent="0.2">
      <c r="B33" s="2" t="s">
        <v>73</v>
      </c>
    </row>
    <row r="34" spans="2:16" x14ac:dyDescent="0.2">
      <c r="B34" s="8" t="s">
        <v>74</v>
      </c>
      <c r="D34" s="8">
        <v>0.3</v>
      </c>
      <c r="E34" s="8">
        <v>-0.2</v>
      </c>
      <c r="F34" s="8">
        <v>0.1</v>
      </c>
      <c r="G34" s="8">
        <v>0.4</v>
      </c>
      <c r="I34" s="18" t="s">
        <v>75</v>
      </c>
      <c r="J34" s="10" t="s">
        <v>69</v>
      </c>
      <c r="K34" s="10">
        <v>0.2</v>
      </c>
    </row>
    <row r="35" spans="2:16" x14ac:dyDescent="0.2">
      <c r="D35" s="8">
        <v>-0.1</v>
      </c>
      <c r="E35" s="8">
        <v>0.4</v>
      </c>
      <c r="F35" s="8">
        <v>-0.3</v>
      </c>
      <c r="G35" s="8">
        <v>0.2</v>
      </c>
      <c r="K35" s="10">
        <v>0.1</v>
      </c>
    </row>
    <row r="36" spans="2:16" x14ac:dyDescent="0.2">
      <c r="D36" s="8">
        <v>0.2</v>
      </c>
      <c r="E36" s="8">
        <v>0.1</v>
      </c>
      <c r="F36" s="8">
        <v>0.4</v>
      </c>
      <c r="G36" s="8">
        <v>-0.2</v>
      </c>
      <c r="K36" s="10">
        <v>-0.1</v>
      </c>
    </row>
    <row r="37" spans="2:16" x14ac:dyDescent="0.2">
      <c r="K37" s="10">
        <v>0.3</v>
      </c>
    </row>
    <row r="38" spans="2:16" x14ac:dyDescent="0.2">
      <c r="B38" s="8" t="s">
        <v>76</v>
      </c>
    </row>
    <row r="39" spans="2:16" x14ac:dyDescent="0.2">
      <c r="B39" s="8" t="s">
        <v>77</v>
      </c>
      <c r="C39">
        <f>(0.3*0.2) + (-0.2*0.1) + (0.1*-0.1) + (0.4*0.3)</f>
        <v>0.15</v>
      </c>
      <c r="P39" s="8">
        <f>0.15</f>
        <v>0.15</v>
      </c>
    </row>
    <row r="40" spans="2:16" x14ac:dyDescent="0.2">
      <c r="B40" s="8" t="s">
        <v>78</v>
      </c>
      <c r="C40">
        <f>(-0.1*0.2) + (0.4*0.1) + (-0.3*-0.1) + (0.2*0.3)</f>
        <v>0.11</v>
      </c>
      <c r="P40" s="8">
        <f>0.11</f>
        <v>0.11</v>
      </c>
    </row>
    <row r="41" spans="2:16" x14ac:dyDescent="0.2">
      <c r="B41" s="8" t="s">
        <v>79</v>
      </c>
      <c r="C41">
        <f>(0.2*0.2) + (0.1*0.1) + (0.4*-0.1) + (-0.2*0.3)</f>
        <v>-4.9999999999999996E-2</v>
      </c>
      <c r="P41" s="8">
        <f>-0.05</f>
        <v>-0.05</v>
      </c>
    </row>
    <row r="43" spans="2:16" x14ac:dyDescent="0.2">
      <c r="B43" s="4" t="s">
        <v>80</v>
      </c>
    </row>
    <row r="44" spans="2:16" x14ac:dyDescent="0.2">
      <c r="B44" s="9" t="s">
        <v>81</v>
      </c>
      <c r="D44" s="9">
        <v>0.2</v>
      </c>
      <c r="E44" s="9">
        <v>-0.3</v>
      </c>
      <c r="F44" s="9">
        <v>0.1</v>
      </c>
      <c r="H44" s="18" t="s">
        <v>75</v>
      </c>
      <c r="I44" s="3" t="s">
        <v>72</v>
      </c>
      <c r="K44" s="3">
        <v>0</v>
      </c>
    </row>
    <row r="45" spans="2:16" x14ac:dyDescent="0.2">
      <c r="D45" s="9">
        <v>0.4</v>
      </c>
      <c r="E45" s="9">
        <v>0.1</v>
      </c>
      <c r="F45" s="9">
        <v>-0.2</v>
      </c>
      <c r="K45" s="3">
        <v>0</v>
      </c>
    </row>
    <row r="46" spans="2:16" x14ac:dyDescent="0.2">
      <c r="D46" s="9">
        <v>-0.1</v>
      </c>
      <c r="E46" s="9">
        <v>0.3</v>
      </c>
      <c r="F46" s="9">
        <v>0.2</v>
      </c>
      <c r="K46" s="3">
        <v>0</v>
      </c>
    </row>
    <row r="47" spans="2:16" x14ac:dyDescent="0.2">
      <c r="B47" s="9" t="s">
        <v>76</v>
      </c>
    </row>
    <row r="48" spans="2:16" x14ac:dyDescent="0.2">
      <c r="B48" s="9" t="s">
        <v>77</v>
      </c>
      <c r="C48">
        <f>(0.2*0) + (-0.3*0) + (0.1*0)</f>
        <v>0</v>
      </c>
      <c r="P48" s="9">
        <f>0</f>
        <v>0</v>
      </c>
    </row>
    <row r="49" spans="2:16" x14ac:dyDescent="0.2">
      <c r="B49" s="9" t="s">
        <v>78</v>
      </c>
      <c r="C49">
        <f>(0.4*0) + (0.1*0) + (-0.2*0)</f>
        <v>0</v>
      </c>
      <c r="P49" s="9">
        <f>0</f>
        <v>0</v>
      </c>
    </row>
    <row r="50" spans="2:16" x14ac:dyDescent="0.2">
      <c r="B50" s="9" t="s">
        <v>79</v>
      </c>
      <c r="C50">
        <f>(-0.1*0) + (0.3*0) + (0.2*0)</f>
        <v>0</v>
      </c>
      <c r="P50" s="9">
        <f>0</f>
        <v>0</v>
      </c>
    </row>
    <row r="52" spans="2:16" x14ac:dyDescent="0.2">
      <c r="B52" s="6" t="s">
        <v>82</v>
      </c>
    </row>
    <row r="53" spans="2:16" x14ac:dyDescent="0.2">
      <c r="B53" s="8" t="s">
        <v>83</v>
      </c>
      <c r="C53" s="18" t="s">
        <v>70</v>
      </c>
      <c r="D53" s="8">
        <v>0.1</v>
      </c>
      <c r="E53" s="8">
        <v>-0.1</v>
      </c>
      <c r="F53" s="8">
        <v>0.05</v>
      </c>
      <c r="G53" s="18" t="s">
        <v>71</v>
      </c>
    </row>
    <row r="54" spans="2:16" x14ac:dyDescent="0.2">
      <c r="B54" s="11" t="s">
        <v>76</v>
      </c>
    </row>
    <row r="55" spans="2:16" x14ac:dyDescent="0.2">
      <c r="B55" s="11" t="s">
        <v>84</v>
      </c>
      <c r="C55">
        <f>0.15 + 0 + 0.1</f>
        <v>0.25</v>
      </c>
      <c r="P55" s="11">
        <f>0.25</f>
        <v>0.25</v>
      </c>
    </row>
    <row r="56" spans="2:16" x14ac:dyDescent="0.2">
      <c r="B56" s="11" t="s">
        <v>85</v>
      </c>
      <c r="C56">
        <f>0.11 + 0 + -0.1</f>
        <v>9.999999999999995E-3</v>
      </c>
      <c r="P56" s="11">
        <f>0.01</f>
        <v>0.01</v>
      </c>
    </row>
    <row r="57" spans="2:16" x14ac:dyDescent="0.2">
      <c r="B57" s="11" t="s">
        <v>86</v>
      </c>
      <c r="C57">
        <f>-0.05 + 0 + 0.05</f>
        <v>0</v>
      </c>
      <c r="P57" s="11">
        <f>0</f>
        <v>0</v>
      </c>
    </row>
    <row r="59" spans="2:16" x14ac:dyDescent="0.2">
      <c r="B59" s="4" t="s">
        <v>87</v>
      </c>
    </row>
    <row r="60" spans="2:16" x14ac:dyDescent="0.2">
      <c r="B60" s="9" t="s">
        <v>88</v>
      </c>
      <c r="C60">
        <f>TANH(0.25)</f>
        <v>0.24491866240370913</v>
      </c>
      <c r="P60" s="9">
        <f>0.2449</f>
        <v>0.24490000000000001</v>
      </c>
    </row>
    <row r="61" spans="2:16" x14ac:dyDescent="0.2">
      <c r="B61" s="9" t="s">
        <v>89</v>
      </c>
      <c r="C61">
        <f>TANH(0.01)</f>
        <v>9.9996666799994586E-3</v>
      </c>
      <c r="P61" s="9">
        <f>0.01</f>
        <v>0.01</v>
      </c>
    </row>
    <row r="62" spans="2:16" x14ac:dyDescent="0.2">
      <c r="B62" s="9" t="s">
        <v>90</v>
      </c>
      <c r="C62">
        <f>TANH(0)</f>
        <v>0</v>
      </c>
      <c r="P62" s="9">
        <f>0</f>
        <v>0</v>
      </c>
    </row>
    <row r="64" spans="2:16" x14ac:dyDescent="0.2">
      <c r="B64" s="4" t="s">
        <v>91</v>
      </c>
      <c r="C64" s="18" t="s">
        <v>70</v>
      </c>
      <c r="D64" s="9">
        <v>0.24490000000000001</v>
      </c>
      <c r="E64" s="9">
        <v>0.01</v>
      </c>
      <c r="F64" s="9">
        <v>0</v>
      </c>
      <c r="G64" s="18" t="s">
        <v>71</v>
      </c>
    </row>
    <row r="67" spans="2:16" x14ac:dyDescent="0.2">
      <c r="B67" s="31" t="s">
        <v>92</v>
      </c>
      <c r="C67" s="26"/>
      <c r="D67" s="26"/>
      <c r="E67" s="26"/>
      <c r="F67" s="26"/>
      <c r="G67" s="26"/>
      <c r="H67" s="26"/>
      <c r="I67" s="26"/>
      <c r="J67" s="26"/>
      <c r="K67" s="26"/>
      <c r="L67" s="27"/>
    </row>
    <row r="68" spans="2:16" x14ac:dyDescent="0.2">
      <c r="B68" s="5" t="s">
        <v>69</v>
      </c>
      <c r="C68" s="18" t="s">
        <v>70</v>
      </c>
      <c r="D68" s="10">
        <v>0.5</v>
      </c>
      <c r="E68" s="10">
        <v>0.3</v>
      </c>
      <c r="F68" s="10">
        <v>0.2</v>
      </c>
      <c r="G68" s="10">
        <v>-0.1</v>
      </c>
      <c r="H68" s="18" t="s">
        <v>71</v>
      </c>
    </row>
    <row r="69" spans="2:16" x14ac:dyDescent="0.2">
      <c r="B69" s="1" t="s">
        <v>72</v>
      </c>
      <c r="C69" s="18" t="s">
        <v>70</v>
      </c>
      <c r="D69" s="3">
        <v>0.24490000000000001</v>
      </c>
      <c r="E69" s="3">
        <v>0.01</v>
      </c>
      <c r="F69" s="3">
        <v>0</v>
      </c>
      <c r="G69" s="18" t="s">
        <v>71</v>
      </c>
    </row>
    <row r="71" spans="2:16" x14ac:dyDescent="0.2">
      <c r="B71" s="2" t="s">
        <v>73</v>
      </c>
    </row>
    <row r="72" spans="2:16" x14ac:dyDescent="0.2">
      <c r="B72" s="8" t="s">
        <v>74</v>
      </c>
      <c r="D72" s="8">
        <v>0.3</v>
      </c>
      <c r="E72" s="8">
        <v>-0.2</v>
      </c>
      <c r="F72" s="8">
        <v>0.1</v>
      </c>
      <c r="G72" s="8">
        <v>0.4</v>
      </c>
      <c r="I72" s="18" t="s">
        <v>75</v>
      </c>
      <c r="J72" s="10" t="s">
        <v>69</v>
      </c>
      <c r="K72" s="10">
        <v>0.5</v>
      </c>
    </row>
    <row r="73" spans="2:16" x14ac:dyDescent="0.2">
      <c r="D73" s="8">
        <v>-0.1</v>
      </c>
      <c r="E73" s="8">
        <v>0.4</v>
      </c>
      <c r="F73" s="8">
        <v>-0.3</v>
      </c>
      <c r="G73" s="8">
        <v>0.2</v>
      </c>
      <c r="K73" s="10">
        <v>0.3</v>
      </c>
    </row>
    <row r="74" spans="2:16" x14ac:dyDescent="0.2">
      <c r="D74" s="8">
        <v>0.2</v>
      </c>
      <c r="E74" s="8">
        <v>0.1</v>
      </c>
      <c r="F74" s="8">
        <v>0.4</v>
      </c>
      <c r="G74" s="8">
        <v>-0.2</v>
      </c>
      <c r="K74" s="10">
        <v>0.2</v>
      </c>
    </row>
    <row r="75" spans="2:16" x14ac:dyDescent="0.2">
      <c r="K75" s="10">
        <v>-0.1</v>
      </c>
    </row>
    <row r="76" spans="2:16" x14ac:dyDescent="0.2">
      <c r="B76" s="8" t="s">
        <v>76</v>
      </c>
    </row>
    <row r="77" spans="2:16" x14ac:dyDescent="0.2">
      <c r="B77" s="8" t="s">
        <v>77</v>
      </c>
      <c r="C77">
        <f>(0.3*0.5) + (-0.2*0.3) + (0.1*0.2) + (0.4*-0.1)</f>
        <v>6.9999999999999993E-2</v>
      </c>
      <c r="P77" s="8">
        <f>0.07</f>
        <v>7.0000000000000007E-2</v>
      </c>
    </row>
    <row r="78" spans="2:16" x14ac:dyDescent="0.2">
      <c r="B78" s="8" t="s">
        <v>78</v>
      </c>
      <c r="C78">
        <f>(-0.1*0.5) + (0.4*0.3) + (-0.3*0.2) + (0.2*-0.1)</f>
        <v>-1.0000000000000009E-2</v>
      </c>
      <c r="P78" s="8">
        <f>-0.01</f>
        <v>-0.01</v>
      </c>
    </row>
    <row r="79" spans="2:16" x14ac:dyDescent="0.2">
      <c r="B79" s="8" t="s">
        <v>79</v>
      </c>
      <c r="C79">
        <f>(0.2*0.5) + (0.1*0.3) + (0.4*0.2) + (-0.2*-0.1)</f>
        <v>0.23000000000000004</v>
      </c>
      <c r="P79" s="8">
        <f>0.23</f>
        <v>0.23</v>
      </c>
    </row>
    <row r="81" spans="2:16" x14ac:dyDescent="0.2">
      <c r="B81" s="4" t="s">
        <v>80</v>
      </c>
    </row>
    <row r="82" spans="2:16" x14ac:dyDescent="0.2">
      <c r="B82" s="9" t="s">
        <v>81</v>
      </c>
      <c r="D82" s="9">
        <v>0.2</v>
      </c>
      <c r="E82" s="9">
        <v>-0.3</v>
      </c>
      <c r="F82" s="9">
        <v>0.1</v>
      </c>
      <c r="H82" s="18" t="s">
        <v>75</v>
      </c>
      <c r="I82" s="3" t="s">
        <v>72</v>
      </c>
      <c r="K82" s="3">
        <v>0.24490000000000001</v>
      </c>
    </row>
    <row r="83" spans="2:16" x14ac:dyDescent="0.2">
      <c r="D83" s="9">
        <v>0.4</v>
      </c>
      <c r="E83" s="9">
        <v>0.1</v>
      </c>
      <c r="F83" s="9">
        <v>-0.2</v>
      </c>
      <c r="K83" s="3">
        <v>0.01</v>
      </c>
    </row>
    <row r="84" spans="2:16" x14ac:dyDescent="0.2">
      <c r="D84" s="9">
        <v>-0.1</v>
      </c>
      <c r="E84" s="9">
        <v>0.3</v>
      </c>
      <c r="F84" s="9">
        <v>0.2</v>
      </c>
      <c r="K84" s="3">
        <v>0</v>
      </c>
    </row>
    <row r="85" spans="2:16" x14ac:dyDescent="0.2">
      <c r="B85" s="9" t="s">
        <v>76</v>
      </c>
    </row>
    <row r="86" spans="2:16" x14ac:dyDescent="0.2">
      <c r="B86" s="9" t="s">
        <v>77</v>
      </c>
      <c r="C86">
        <f>(0.2*0.2449) + (-0.3*0.01) + (0.1*0)</f>
        <v>4.598E-2</v>
      </c>
      <c r="P86" s="9">
        <f>0.046</f>
        <v>4.5999999999999999E-2</v>
      </c>
    </row>
    <row r="87" spans="2:16" x14ac:dyDescent="0.2">
      <c r="B87" s="9" t="s">
        <v>78</v>
      </c>
      <c r="C87">
        <f>(0.4*0.2449) + (0.1*0.01) + (-0.2*0)</f>
        <v>9.8960000000000006E-2</v>
      </c>
      <c r="P87" s="9">
        <f>0.099</f>
        <v>9.9000000000000005E-2</v>
      </c>
    </row>
    <row r="88" spans="2:16" x14ac:dyDescent="0.2">
      <c r="B88" s="9" t="s">
        <v>79</v>
      </c>
      <c r="C88">
        <f>(-0.1*0.2449) + (0.3*0.01) + (0.2*0)</f>
        <v>-2.1490000000000002E-2</v>
      </c>
      <c r="P88" s="9">
        <f>-0.0215</f>
        <v>-2.1499999999999998E-2</v>
      </c>
    </row>
    <row r="90" spans="2:16" x14ac:dyDescent="0.2">
      <c r="B90" s="6" t="s">
        <v>82</v>
      </c>
    </row>
    <row r="91" spans="2:16" x14ac:dyDescent="0.2">
      <c r="B91" s="8" t="s">
        <v>83</v>
      </c>
      <c r="C91" s="18" t="s">
        <v>70</v>
      </c>
      <c r="D91" s="8">
        <v>0.1</v>
      </c>
      <c r="E91" s="8">
        <v>-0.1</v>
      </c>
      <c r="F91" s="8">
        <v>0.05</v>
      </c>
      <c r="G91" s="18" t="s">
        <v>71</v>
      </c>
    </row>
    <row r="92" spans="2:16" x14ac:dyDescent="0.2">
      <c r="B92" s="11" t="s">
        <v>76</v>
      </c>
    </row>
    <row r="93" spans="2:16" x14ac:dyDescent="0.2">
      <c r="B93" s="11" t="s">
        <v>84</v>
      </c>
      <c r="C93">
        <f>0.07 + 0.046 + 0.1</f>
        <v>0.21600000000000003</v>
      </c>
      <c r="P93" s="11">
        <f>0.216</f>
        <v>0.216</v>
      </c>
    </row>
    <row r="94" spans="2:16" x14ac:dyDescent="0.2">
      <c r="B94" s="11" t="s">
        <v>85</v>
      </c>
      <c r="C94">
        <f>-0.01 + 0.099 + -0.1</f>
        <v>-1.0999999999999996E-2</v>
      </c>
      <c r="P94" s="11">
        <f>-0.011</f>
        <v>-1.0999999999999999E-2</v>
      </c>
    </row>
    <row r="95" spans="2:16" x14ac:dyDescent="0.2">
      <c r="B95" s="11" t="s">
        <v>86</v>
      </c>
      <c r="C95">
        <f>0.23 + -0.0215 + 0.05</f>
        <v>0.25850000000000001</v>
      </c>
      <c r="P95" s="11">
        <f>0.2585</f>
        <v>0.25850000000000001</v>
      </c>
    </row>
    <row r="97" spans="2:16" x14ac:dyDescent="0.2">
      <c r="B97" s="4" t="s">
        <v>87</v>
      </c>
    </row>
    <row r="98" spans="2:16" x14ac:dyDescent="0.2">
      <c r="B98" s="9" t="s">
        <v>88</v>
      </c>
      <c r="C98">
        <f>TANH(0.216)</f>
        <v>0.21270229740018173</v>
      </c>
      <c r="P98" s="9">
        <f>0.2127</f>
        <v>0.2127</v>
      </c>
    </row>
    <row r="99" spans="2:16" x14ac:dyDescent="0.2">
      <c r="B99" s="9" t="s">
        <v>89</v>
      </c>
      <c r="C99">
        <f>TANH(-0.011)</f>
        <v>-1.099955635480575E-2</v>
      </c>
      <c r="P99" s="9">
        <f>-0.011</f>
        <v>-1.0999999999999999E-2</v>
      </c>
    </row>
    <row r="100" spans="2:16" x14ac:dyDescent="0.2">
      <c r="B100" s="9" t="s">
        <v>90</v>
      </c>
      <c r="C100">
        <f>TANH(0.2585)</f>
        <v>0.25289199763689624</v>
      </c>
      <c r="P100" s="9">
        <f>0.2529</f>
        <v>0.25290000000000001</v>
      </c>
    </row>
    <row r="102" spans="2:16" x14ac:dyDescent="0.2">
      <c r="B102" s="4" t="s">
        <v>91</v>
      </c>
      <c r="C102" s="18" t="s">
        <v>70</v>
      </c>
      <c r="D102" s="9">
        <v>0.2127</v>
      </c>
      <c r="E102" s="9">
        <v>-1.0999999999999999E-2</v>
      </c>
      <c r="F102" s="9">
        <v>0.25290000000000001</v>
      </c>
      <c r="G102" s="18" t="s">
        <v>71</v>
      </c>
    </row>
    <row r="105" spans="2:16" x14ac:dyDescent="0.2">
      <c r="B105" s="31" t="s">
        <v>93</v>
      </c>
      <c r="C105" s="26"/>
      <c r="D105" s="26"/>
      <c r="E105" s="26"/>
      <c r="F105" s="26"/>
      <c r="G105" s="26"/>
      <c r="H105" s="26"/>
      <c r="I105" s="26"/>
      <c r="J105" s="26"/>
      <c r="K105" s="26"/>
      <c r="L105" s="27"/>
    </row>
    <row r="106" spans="2:16" x14ac:dyDescent="0.2">
      <c r="B106" s="5" t="s">
        <v>69</v>
      </c>
      <c r="C106" s="18" t="s">
        <v>70</v>
      </c>
      <c r="D106" s="10">
        <v>-0.1</v>
      </c>
      <c r="E106" s="10">
        <v>0.2</v>
      </c>
      <c r="F106" s="10">
        <v>0.1</v>
      </c>
      <c r="G106" s="10">
        <v>0.1</v>
      </c>
      <c r="H106" s="18" t="s">
        <v>71</v>
      </c>
    </row>
    <row r="107" spans="2:16" x14ac:dyDescent="0.2">
      <c r="B107" s="1" t="s">
        <v>72</v>
      </c>
      <c r="C107" s="18" t="s">
        <v>70</v>
      </c>
      <c r="D107" s="3">
        <v>0.2127</v>
      </c>
      <c r="E107" s="3">
        <v>-1.0999999999999999E-2</v>
      </c>
      <c r="F107" s="3">
        <v>0.25290000000000001</v>
      </c>
      <c r="G107" s="18" t="s">
        <v>71</v>
      </c>
    </row>
    <row r="109" spans="2:16" x14ac:dyDescent="0.2">
      <c r="B109" s="2" t="s">
        <v>73</v>
      </c>
    </row>
    <row r="110" spans="2:16" x14ac:dyDescent="0.2">
      <c r="B110" s="8" t="s">
        <v>74</v>
      </c>
      <c r="D110" s="8">
        <v>0.3</v>
      </c>
      <c r="E110" s="8">
        <v>-0.2</v>
      </c>
      <c r="F110" s="8">
        <v>0.1</v>
      </c>
      <c r="G110" s="8">
        <v>0.4</v>
      </c>
      <c r="I110" s="18" t="s">
        <v>75</v>
      </c>
      <c r="J110" s="10" t="s">
        <v>69</v>
      </c>
      <c r="K110" s="10">
        <v>-0.1</v>
      </c>
    </row>
    <row r="111" spans="2:16" x14ac:dyDescent="0.2">
      <c r="D111" s="8">
        <v>-0.1</v>
      </c>
      <c r="E111" s="8">
        <v>0.4</v>
      </c>
      <c r="F111" s="8">
        <v>-0.3</v>
      </c>
      <c r="G111" s="8">
        <v>0.2</v>
      </c>
      <c r="K111" s="10">
        <v>0.2</v>
      </c>
    </row>
    <row r="112" spans="2:16" x14ac:dyDescent="0.2">
      <c r="D112" s="8">
        <v>0.2</v>
      </c>
      <c r="E112" s="8">
        <v>0.1</v>
      </c>
      <c r="F112" s="8">
        <v>0.4</v>
      </c>
      <c r="G112" s="8">
        <v>-0.2</v>
      </c>
      <c r="K112" s="10">
        <v>0.1</v>
      </c>
    </row>
    <row r="113" spans="2:16" x14ac:dyDescent="0.2">
      <c r="K113" s="10">
        <v>0.1</v>
      </c>
    </row>
    <row r="114" spans="2:16" x14ac:dyDescent="0.2">
      <c r="B114" s="8" t="s">
        <v>76</v>
      </c>
    </row>
    <row r="115" spans="2:16" x14ac:dyDescent="0.2">
      <c r="B115" s="8" t="s">
        <v>77</v>
      </c>
      <c r="C115">
        <f>(0.3*-0.1) + (-0.2*0.2) + (0.1*0.1) + (0.4*0.1)</f>
        <v>-1.9999999999999997E-2</v>
      </c>
      <c r="P115" s="8">
        <f>-0.02</f>
        <v>-0.02</v>
      </c>
    </row>
    <row r="116" spans="2:16" x14ac:dyDescent="0.2">
      <c r="B116" s="8" t="s">
        <v>78</v>
      </c>
      <c r="C116">
        <f>(-0.1*-0.1) + (0.4*0.2) + (-0.3*0.1) + (0.2*0.1)</f>
        <v>8.0000000000000029E-2</v>
      </c>
      <c r="P116" s="8">
        <f>0.08</f>
        <v>0.08</v>
      </c>
    </row>
    <row r="117" spans="2:16" x14ac:dyDescent="0.2">
      <c r="B117" s="8" t="s">
        <v>79</v>
      </c>
      <c r="C117">
        <f>(0.2*-0.1) + (0.1*0.2) + (0.4*0.1) + (-0.2*0.1)</f>
        <v>2.0000000000000004E-2</v>
      </c>
      <c r="P117" s="8">
        <f>0.02</f>
        <v>0.02</v>
      </c>
    </row>
    <row r="119" spans="2:16" x14ac:dyDescent="0.2">
      <c r="B119" s="4" t="s">
        <v>80</v>
      </c>
    </row>
    <row r="120" spans="2:16" x14ac:dyDescent="0.2">
      <c r="B120" s="9" t="s">
        <v>81</v>
      </c>
      <c r="D120" s="9">
        <v>0.2</v>
      </c>
      <c r="E120" s="9">
        <v>-0.3</v>
      </c>
      <c r="F120" s="9">
        <v>0.1</v>
      </c>
      <c r="H120" s="18" t="s">
        <v>75</v>
      </c>
      <c r="I120" s="3" t="s">
        <v>72</v>
      </c>
      <c r="K120" s="3">
        <v>0.2127</v>
      </c>
    </row>
    <row r="121" spans="2:16" x14ac:dyDescent="0.2">
      <c r="D121" s="9">
        <v>0.4</v>
      </c>
      <c r="E121" s="9">
        <v>0.1</v>
      </c>
      <c r="F121" s="9">
        <v>-0.2</v>
      </c>
      <c r="K121" s="3">
        <v>-1.0999999999999999E-2</v>
      </c>
    </row>
    <row r="122" spans="2:16" x14ac:dyDescent="0.2">
      <c r="D122" s="9">
        <v>-0.1</v>
      </c>
      <c r="E122" s="9">
        <v>0.3</v>
      </c>
      <c r="F122" s="9">
        <v>0.2</v>
      </c>
      <c r="K122" s="3">
        <v>0.25290000000000001</v>
      </c>
    </row>
    <row r="123" spans="2:16" x14ac:dyDescent="0.2">
      <c r="B123" s="9" t="s">
        <v>76</v>
      </c>
    </row>
    <row r="124" spans="2:16" x14ac:dyDescent="0.2">
      <c r="B124" s="9" t="s">
        <v>77</v>
      </c>
      <c r="C124">
        <f>(0.2*0.2127) + (-0.3*-0.011) + (0.1*0.2529)</f>
        <v>7.1129999999999999E-2</v>
      </c>
      <c r="P124" s="9">
        <f>0.0711</f>
        <v>7.1099999999999997E-2</v>
      </c>
    </row>
    <row r="125" spans="2:16" x14ac:dyDescent="0.2">
      <c r="B125" s="9" t="s">
        <v>78</v>
      </c>
      <c r="C125">
        <f>(0.4*0.2127) + (0.1*-0.011) + (-0.2*0.2529)</f>
        <v>3.3399999999999992E-2</v>
      </c>
      <c r="P125" s="9">
        <f>0.0334</f>
        <v>3.3399999999999999E-2</v>
      </c>
    </row>
    <row r="126" spans="2:16" x14ac:dyDescent="0.2">
      <c r="B126" s="9" t="s">
        <v>79</v>
      </c>
      <c r="C126">
        <f>(-0.1*0.2127) + (0.3*-0.011) + (0.2*0.2529)</f>
        <v>2.6010000000000005E-2</v>
      </c>
      <c r="P126" s="9">
        <f>0.026</f>
        <v>2.5999999999999999E-2</v>
      </c>
    </row>
    <row r="128" spans="2:16" x14ac:dyDescent="0.2">
      <c r="B128" s="6" t="s">
        <v>82</v>
      </c>
    </row>
    <row r="129" spans="2:16" x14ac:dyDescent="0.2">
      <c r="B129" s="8" t="s">
        <v>83</v>
      </c>
      <c r="C129" s="18" t="s">
        <v>70</v>
      </c>
      <c r="D129" s="8">
        <v>0.1</v>
      </c>
      <c r="E129" s="8">
        <v>-0.1</v>
      </c>
      <c r="F129" s="8">
        <v>0.05</v>
      </c>
      <c r="G129" s="18" t="s">
        <v>71</v>
      </c>
    </row>
    <row r="130" spans="2:16" x14ac:dyDescent="0.2">
      <c r="B130" s="11" t="s">
        <v>76</v>
      </c>
    </row>
    <row r="131" spans="2:16" x14ac:dyDescent="0.2">
      <c r="B131" s="11" t="s">
        <v>84</v>
      </c>
      <c r="C131">
        <f>-0.02 + 0.0711 + 0.1</f>
        <v>0.15110000000000001</v>
      </c>
      <c r="P131" s="11">
        <f>0.1511</f>
        <v>0.15110000000000001</v>
      </c>
    </row>
    <row r="132" spans="2:16" x14ac:dyDescent="0.2">
      <c r="B132" s="11" t="s">
        <v>85</v>
      </c>
      <c r="C132">
        <f>0.08 + 0.0334 + -0.1</f>
        <v>1.3399999999999995E-2</v>
      </c>
      <c r="P132" s="11">
        <f>0.0134</f>
        <v>1.34E-2</v>
      </c>
    </row>
    <row r="133" spans="2:16" x14ac:dyDescent="0.2">
      <c r="B133" s="11" t="s">
        <v>86</v>
      </c>
      <c r="C133">
        <f>0.02 + 0.026 + 0.05</f>
        <v>9.6000000000000002E-2</v>
      </c>
      <c r="P133" s="11">
        <f>0.096</f>
        <v>9.6000000000000002E-2</v>
      </c>
    </row>
    <row r="135" spans="2:16" x14ac:dyDescent="0.2">
      <c r="B135" s="4" t="s">
        <v>87</v>
      </c>
    </row>
    <row r="136" spans="2:16" x14ac:dyDescent="0.2">
      <c r="B136" s="9" t="s">
        <v>88</v>
      </c>
      <c r="C136">
        <f>TANH(0.1511)</f>
        <v>0.14996047363238241</v>
      </c>
      <c r="P136" s="9">
        <f>0.15</f>
        <v>0.15</v>
      </c>
    </row>
    <row r="137" spans="2:16" x14ac:dyDescent="0.2">
      <c r="B137" s="9" t="s">
        <v>89</v>
      </c>
      <c r="C137">
        <f>TANH(0.0134)</f>
        <v>1.3399198022934485E-2</v>
      </c>
      <c r="P137" s="9">
        <f>0.0134</f>
        <v>1.34E-2</v>
      </c>
    </row>
    <row r="138" spans="2:16" x14ac:dyDescent="0.2">
      <c r="B138" s="9" t="s">
        <v>90</v>
      </c>
      <c r="C138">
        <f>TANH(0.096)</f>
        <v>9.5706171123254968E-2</v>
      </c>
      <c r="P138" s="9">
        <f>0.0957</f>
        <v>9.5699999999999993E-2</v>
      </c>
    </row>
    <row r="140" spans="2:16" x14ac:dyDescent="0.2">
      <c r="B140" s="4" t="s">
        <v>91</v>
      </c>
      <c r="C140" s="18" t="s">
        <v>70</v>
      </c>
      <c r="D140" s="9">
        <v>0.15</v>
      </c>
      <c r="E140" s="9">
        <v>1.34E-2</v>
      </c>
      <c r="F140" s="9">
        <v>9.5699999999999993E-2</v>
      </c>
      <c r="G140" s="18" t="s">
        <v>71</v>
      </c>
    </row>
    <row r="143" spans="2:16" x14ac:dyDescent="0.2">
      <c r="B143" s="31" t="s">
        <v>94</v>
      </c>
      <c r="C143" s="26"/>
      <c r="D143" s="26"/>
      <c r="E143" s="26"/>
      <c r="F143" s="26"/>
      <c r="G143" s="26"/>
      <c r="H143" s="26"/>
      <c r="I143" s="26"/>
      <c r="J143" s="26"/>
      <c r="K143" s="26"/>
      <c r="L143" s="27"/>
    </row>
    <row r="144" spans="2:16" x14ac:dyDescent="0.2">
      <c r="B144" s="5" t="s">
        <v>69</v>
      </c>
      <c r="C144" s="18" t="s">
        <v>70</v>
      </c>
      <c r="D144" s="10">
        <v>0.3</v>
      </c>
      <c r="E144" s="10">
        <v>0.4</v>
      </c>
      <c r="F144" s="10">
        <v>-0.2</v>
      </c>
      <c r="G144" s="10">
        <v>0.2</v>
      </c>
      <c r="H144" s="18" t="s">
        <v>71</v>
      </c>
    </row>
    <row r="145" spans="2:16" x14ac:dyDescent="0.2">
      <c r="B145" s="1" t="s">
        <v>72</v>
      </c>
      <c r="C145" s="18" t="s">
        <v>70</v>
      </c>
      <c r="D145" s="3">
        <v>0.15</v>
      </c>
      <c r="E145" s="3">
        <v>1.34E-2</v>
      </c>
      <c r="F145" s="3">
        <v>9.5699999999999993E-2</v>
      </c>
      <c r="G145" s="18" t="s">
        <v>71</v>
      </c>
    </row>
    <row r="147" spans="2:16" x14ac:dyDescent="0.2">
      <c r="B147" s="2" t="s">
        <v>73</v>
      </c>
    </row>
    <row r="148" spans="2:16" x14ac:dyDescent="0.2">
      <c r="B148" s="8" t="s">
        <v>74</v>
      </c>
      <c r="D148" s="8">
        <v>0.3</v>
      </c>
      <c r="E148" s="8">
        <v>-0.2</v>
      </c>
      <c r="F148" s="8">
        <v>0.1</v>
      </c>
      <c r="G148" s="8">
        <v>0.4</v>
      </c>
      <c r="I148" s="18" t="s">
        <v>75</v>
      </c>
      <c r="J148" s="10" t="s">
        <v>69</v>
      </c>
      <c r="K148" s="10">
        <v>0.3</v>
      </c>
    </row>
    <row r="149" spans="2:16" x14ac:dyDescent="0.2">
      <c r="D149" s="8">
        <v>-0.1</v>
      </c>
      <c r="E149" s="8">
        <v>0.4</v>
      </c>
      <c r="F149" s="8">
        <v>-0.3</v>
      </c>
      <c r="G149" s="8">
        <v>0.2</v>
      </c>
      <c r="K149" s="10">
        <v>0.4</v>
      </c>
    </row>
    <row r="150" spans="2:16" x14ac:dyDescent="0.2">
      <c r="D150" s="8">
        <v>0.2</v>
      </c>
      <c r="E150" s="8">
        <v>0.1</v>
      </c>
      <c r="F150" s="8">
        <v>0.4</v>
      </c>
      <c r="G150" s="8">
        <v>-0.2</v>
      </c>
      <c r="K150" s="10">
        <v>-0.2</v>
      </c>
    </row>
    <row r="151" spans="2:16" x14ac:dyDescent="0.2">
      <c r="K151" s="10">
        <v>0.2</v>
      </c>
    </row>
    <row r="152" spans="2:16" x14ac:dyDescent="0.2">
      <c r="B152" s="8" t="s">
        <v>76</v>
      </c>
    </row>
    <row r="153" spans="2:16" x14ac:dyDescent="0.2">
      <c r="B153" s="8" t="s">
        <v>77</v>
      </c>
      <c r="C153">
        <f>(0.3*0.3) + (-0.2*0.4) + (0.1*-0.2) + (0.4*0.2)</f>
        <v>6.9999999999999993E-2</v>
      </c>
      <c r="P153" s="8">
        <f>0.07</f>
        <v>7.0000000000000007E-2</v>
      </c>
    </row>
    <row r="154" spans="2:16" x14ac:dyDescent="0.2">
      <c r="B154" s="8" t="s">
        <v>78</v>
      </c>
      <c r="C154">
        <f>(-0.1*0.3) + (0.4*0.4) + (-0.3*-0.2) + (0.2*0.2)</f>
        <v>0.23000000000000004</v>
      </c>
      <c r="P154" s="8">
        <f>0.23</f>
        <v>0.23</v>
      </c>
    </row>
    <row r="155" spans="2:16" x14ac:dyDescent="0.2">
      <c r="B155" s="8" t="s">
        <v>79</v>
      </c>
      <c r="C155">
        <f>(0.2*0.3) + (0.1*0.4) + (0.4*-0.2) + (-0.2*0.2)</f>
        <v>-2.0000000000000018E-2</v>
      </c>
      <c r="P155" s="8">
        <f>-0.02</f>
        <v>-0.02</v>
      </c>
    </row>
    <row r="157" spans="2:16" x14ac:dyDescent="0.2">
      <c r="B157" s="4" t="s">
        <v>80</v>
      </c>
    </row>
    <row r="158" spans="2:16" x14ac:dyDescent="0.2">
      <c r="B158" s="9" t="s">
        <v>81</v>
      </c>
      <c r="D158" s="9">
        <v>0.2</v>
      </c>
      <c r="E158" s="9">
        <v>-0.3</v>
      </c>
      <c r="F158" s="9">
        <v>0.1</v>
      </c>
      <c r="H158" s="18" t="s">
        <v>75</v>
      </c>
      <c r="I158" s="3" t="s">
        <v>72</v>
      </c>
      <c r="K158" s="3">
        <v>0.15</v>
      </c>
    </row>
    <row r="159" spans="2:16" x14ac:dyDescent="0.2">
      <c r="D159" s="9">
        <v>0.4</v>
      </c>
      <c r="E159" s="9">
        <v>0.1</v>
      </c>
      <c r="F159" s="9">
        <v>-0.2</v>
      </c>
      <c r="K159" s="3">
        <v>1.34E-2</v>
      </c>
    </row>
    <row r="160" spans="2:16" x14ac:dyDescent="0.2">
      <c r="D160" s="9">
        <v>-0.1</v>
      </c>
      <c r="E160" s="9">
        <v>0.3</v>
      </c>
      <c r="F160" s="9">
        <v>0.2</v>
      </c>
      <c r="K160" s="3">
        <v>9.5699999999999993E-2</v>
      </c>
    </row>
    <row r="161" spans="2:16" x14ac:dyDescent="0.2">
      <c r="B161" s="9" t="s">
        <v>76</v>
      </c>
    </row>
    <row r="162" spans="2:16" x14ac:dyDescent="0.2">
      <c r="B162" s="9" t="s">
        <v>77</v>
      </c>
      <c r="C162">
        <f>(0.2*0.15) + (-0.3*0.0134) + (0.1*0.0957)</f>
        <v>3.5549999999999998E-2</v>
      </c>
      <c r="P162" s="9">
        <f>0.0356</f>
        <v>3.56E-2</v>
      </c>
    </row>
    <row r="163" spans="2:16" x14ac:dyDescent="0.2">
      <c r="B163" s="9" t="s">
        <v>78</v>
      </c>
      <c r="C163">
        <f>(0.4*0.15) + (0.1*0.0134) + (-0.2*0.0957)</f>
        <v>4.2200000000000001E-2</v>
      </c>
      <c r="P163" s="9">
        <f>0.0422</f>
        <v>4.2200000000000001E-2</v>
      </c>
    </row>
    <row r="164" spans="2:16" x14ac:dyDescent="0.2">
      <c r="B164" s="9" t="s">
        <v>79</v>
      </c>
      <c r="C164">
        <f>(-0.1*0.15) + (0.3*0.0134) + (0.2*0.0957)</f>
        <v>8.1600000000000006E-3</v>
      </c>
      <c r="P164" s="9">
        <f>0.0082</f>
        <v>8.2000000000000007E-3</v>
      </c>
    </row>
    <row r="166" spans="2:16" x14ac:dyDescent="0.2">
      <c r="B166" s="6" t="s">
        <v>82</v>
      </c>
    </row>
    <row r="167" spans="2:16" x14ac:dyDescent="0.2">
      <c r="B167" s="8" t="s">
        <v>83</v>
      </c>
      <c r="C167" s="18" t="s">
        <v>70</v>
      </c>
      <c r="D167" s="8">
        <v>0.1</v>
      </c>
      <c r="E167" s="8">
        <v>-0.1</v>
      </c>
      <c r="F167" s="8">
        <v>0.05</v>
      </c>
      <c r="G167" s="18" t="s">
        <v>71</v>
      </c>
    </row>
    <row r="168" spans="2:16" x14ac:dyDescent="0.2">
      <c r="B168" s="11" t="s">
        <v>76</v>
      </c>
    </row>
    <row r="169" spans="2:16" x14ac:dyDescent="0.2">
      <c r="B169" s="11" t="s">
        <v>84</v>
      </c>
      <c r="C169">
        <f>0.07 + 0.0356 + 0.1</f>
        <v>0.2056</v>
      </c>
      <c r="P169" s="11">
        <f>0.2056</f>
        <v>0.2056</v>
      </c>
    </row>
    <row r="170" spans="2:16" x14ac:dyDescent="0.2">
      <c r="B170" s="11" t="s">
        <v>85</v>
      </c>
      <c r="C170">
        <f>0.23 + 0.0422 + -0.1</f>
        <v>0.17219999999999999</v>
      </c>
      <c r="P170" s="11">
        <f>0.1722</f>
        <v>0.17219999999999999</v>
      </c>
    </row>
    <row r="171" spans="2:16" x14ac:dyDescent="0.2">
      <c r="B171" s="11" t="s">
        <v>86</v>
      </c>
      <c r="C171">
        <f>-0.02 + 0.0082 + 0.05</f>
        <v>3.8200000000000005E-2</v>
      </c>
      <c r="P171" s="11">
        <f>0.0382</f>
        <v>3.8199999999999998E-2</v>
      </c>
    </row>
    <row r="173" spans="2:16" x14ac:dyDescent="0.2">
      <c r="B173" s="4" t="s">
        <v>87</v>
      </c>
    </row>
    <row r="174" spans="2:16" x14ac:dyDescent="0.2">
      <c r="B174" s="9" t="s">
        <v>88</v>
      </c>
      <c r="C174">
        <f>TANH(0.2056)</f>
        <v>0.20275116280571245</v>
      </c>
      <c r="P174" s="9">
        <f>0.2027</f>
        <v>0.20269999999999999</v>
      </c>
    </row>
    <row r="175" spans="2:16" x14ac:dyDescent="0.2">
      <c r="B175" s="9" t="s">
        <v>89</v>
      </c>
      <c r="C175">
        <f>TANH(0.1722)</f>
        <v>0.17051787607110885</v>
      </c>
      <c r="P175" s="9">
        <f>0.1705</f>
        <v>0.17050000000000001</v>
      </c>
    </row>
    <row r="176" spans="2:16" x14ac:dyDescent="0.2">
      <c r="B176" s="9" t="s">
        <v>90</v>
      </c>
      <c r="C176">
        <f>TANH(0.0382)</f>
        <v>3.8181429849913677E-2</v>
      </c>
      <c r="P176" s="9">
        <f>0.0381</f>
        <v>3.8100000000000002E-2</v>
      </c>
    </row>
    <row r="178" spans="2:16" x14ac:dyDescent="0.2">
      <c r="B178" s="4" t="s">
        <v>91</v>
      </c>
      <c r="C178" s="18" t="s">
        <v>70</v>
      </c>
      <c r="D178" s="9">
        <v>0.20269999999999999</v>
      </c>
      <c r="E178" s="9">
        <v>0.17050000000000001</v>
      </c>
      <c r="F178" s="9">
        <v>3.8100000000000002E-2</v>
      </c>
      <c r="G178" s="18" t="s">
        <v>71</v>
      </c>
    </row>
    <row r="181" spans="2:16" x14ac:dyDescent="0.2">
      <c r="B181" s="31" t="s">
        <v>95</v>
      </c>
      <c r="C181" s="26"/>
      <c r="D181" s="26"/>
      <c r="E181" s="26"/>
      <c r="F181" s="26"/>
      <c r="G181" s="26"/>
      <c r="H181" s="26"/>
      <c r="I181" s="26"/>
      <c r="J181" s="26"/>
      <c r="K181" s="26"/>
      <c r="L181" s="27"/>
    </row>
    <row r="182" spans="2:16" x14ac:dyDescent="0.2">
      <c r="B182" s="5" t="s">
        <v>69</v>
      </c>
      <c r="C182" s="18" t="s">
        <v>70</v>
      </c>
      <c r="D182" s="10">
        <v>0.6</v>
      </c>
      <c r="E182" s="10">
        <v>0.5</v>
      </c>
      <c r="F182" s="10">
        <v>0.4</v>
      </c>
      <c r="G182" s="10">
        <v>0.3</v>
      </c>
      <c r="H182" s="18" t="s">
        <v>71</v>
      </c>
    </row>
    <row r="183" spans="2:16" x14ac:dyDescent="0.2">
      <c r="B183" s="1" t="s">
        <v>72</v>
      </c>
      <c r="C183" s="18" t="s">
        <v>70</v>
      </c>
      <c r="D183" s="3">
        <v>0.20269999999999999</v>
      </c>
      <c r="E183" s="3">
        <v>0.17050000000000001</v>
      </c>
      <c r="F183" s="3">
        <v>3.8100000000000002E-2</v>
      </c>
      <c r="G183" s="18" t="s">
        <v>71</v>
      </c>
    </row>
    <row r="185" spans="2:16" x14ac:dyDescent="0.2">
      <c r="B185" s="2" t="s">
        <v>73</v>
      </c>
    </row>
    <row r="186" spans="2:16" x14ac:dyDescent="0.2">
      <c r="B186" s="8" t="s">
        <v>74</v>
      </c>
      <c r="D186" s="8">
        <v>0.3</v>
      </c>
      <c r="E186" s="8">
        <v>-0.2</v>
      </c>
      <c r="F186" s="8">
        <v>0.1</v>
      </c>
      <c r="G186" s="8">
        <v>0.4</v>
      </c>
      <c r="I186" s="18" t="s">
        <v>75</v>
      </c>
      <c r="J186" s="10" t="s">
        <v>69</v>
      </c>
      <c r="K186" s="10">
        <v>0.6</v>
      </c>
    </row>
    <row r="187" spans="2:16" x14ac:dyDescent="0.2">
      <c r="D187" s="8">
        <v>-0.1</v>
      </c>
      <c r="E187" s="8">
        <v>0.4</v>
      </c>
      <c r="F187" s="8">
        <v>-0.3</v>
      </c>
      <c r="G187" s="8">
        <v>0.2</v>
      </c>
      <c r="K187" s="10">
        <v>0.5</v>
      </c>
    </row>
    <row r="188" spans="2:16" x14ac:dyDescent="0.2">
      <c r="D188" s="8">
        <v>0.2</v>
      </c>
      <c r="E188" s="8">
        <v>0.1</v>
      </c>
      <c r="F188" s="8">
        <v>0.4</v>
      </c>
      <c r="G188" s="8">
        <v>-0.2</v>
      </c>
      <c r="K188" s="10">
        <v>0.4</v>
      </c>
    </row>
    <row r="189" spans="2:16" x14ac:dyDescent="0.2">
      <c r="K189" s="10">
        <v>0.3</v>
      </c>
    </row>
    <row r="190" spans="2:16" x14ac:dyDescent="0.2">
      <c r="B190" s="8" t="s">
        <v>76</v>
      </c>
    </row>
    <row r="191" spans="2:16" x14ac:dyDescent="0.2">
      <c r="B191" s="8" t="s">
        <v>77</v>
      </c>
      <c r="C191">
        <f>(0.3*0.6) + (-0.2*0.5) + (0.1*0.4) + (0.4*0.3)</f>
        <v>0.24</v>
      </c>
      <c r="P191" s="8">
        <f>0.24</f>
        <v>0.24</v>
      </c>
    </row>
    <row r="192" spans="2:16" x14ac:dyDescent="0.2">
      <c r="B192" s="8" t="s">
        <v>78</v>
      </c>
      <c r="C192">
        <f>(-0.1*0.6) + (0.4*0.5) + (-0.3*0.4) + (0.2*0.3)</f>
        <v>8.0000000000000016E-2</v>
      </c>
      <c r="P192" s="8">
        <f>0.08</f>
        <v>0.08</v>
      </c>
    </row>
    <row r="193" spans="2:16" x14ac:dyDescent="0.2">
      <c r="B193" s="8" t="s">
        <v>79</v>
      </c>
      <c r="C193">
        <f>(0.2*0.6) + (0.1*0.5) + (0.4*0.4) + (-0.2*0.3)</f>
        <v>0.27</v>
      </c>
      <c r="P193" s="8">
        <f>0.27</f>
        <v>0.27</v>
      </c>
    </row>
    <row r="195" spans="2:16" x14ac:dyDescent="0.2">
      <c r="B195" s="4" t="s">
        <v>80</v>
      </c>
    </row>
    <row r="196" spans="2:16" x14ac:dyDescent="0.2">
      <c r="B196" s="9" t="s">
        <v>81</v>
      </c>
      <c r="D196" s="9">
        <v>0.2</v>
      </c>
      <c r="E196" s="9">
        <v>-0.3</v>
      </c>
      <c r="F196" s="9">
        <v>0.1</v>
      </c>
      <c r="H196" s="18" t="s">
        <v>75</v>
      </c>
      <c r="I196" s="3" t="s">
        <v>72</v>
      </c>
      <c r="K196" s="3">
        <v>0.20269999999999999</v>
      </c>
    </row>
    <row r="197" spans="2:16" x14ac:dyDescent="0.2">
      <c r="D197" s="9">
        <v>0.4</v>
      </c>
      <c r="E197" s="9">
        <v>0.1</v>
      </c>
      <c r="F197" s="9">
        <v>-0.2</v>
      </c>
      <c r="K197" s="3">
        <v>0.17050000000000001</v>
      </c>
    </row>
    <row r="198" spans="2:16" x14ac:dyDescent="0.2">
      <c r="D198" s="9">
        <v>-0.1</v>
      </c>
      <c r="E198" s="9">
        <v>0.3</v>
      </c>
      <c r="F198" s="9">
        <v>0.2</v>
      </c>
      <c r="K198" s="3">
        <v>3.8100000000000002E-2</v>
      </c>
    </row>
    <row r="199" spans="2:16" x14ac:dyDescent="0.2">
      <c r="B199" s="9" t="s">
        <v>76</v>
      </c>
    </row>
    <row r="200" spans="2:16" x14ac:dyDescent="0.2">
      <c r="B200" s="9" t="s">
        <v>77</v>
      </c>
      <c r="C200">
        <f>(0.2*0.2027) + (-0.3*0.1705) + (0.1*0.0381)</f>
        <v>-6.8000000000000005E-3</v>
      </c>
      <c r="P200" s="9">
        <f>-0.0068</f>
        <v>-6.7999999999999996E-3</v>
      </c>
    </row>
    <row r="201" spans="2:16" x14ac:dyDescent="0.2">
      <c r="B201" s="9" t="s">
        <v>78</v>
      </c>
      <c r="C201">
        <f>(0.4*0.2027) + (0.1*0.1705) + (-0.2*0.0381)</f>
        <v>9.0509999999999993E-2</v>
      </c>
      <c r="P201" s="9">
        <f>0.0905</f>
        <v>9.0499999999999997E-2</v>
      </c>
    </row>
    <row r="202" spans="2:16" x14ac:dyDescent="0.2">
      <c r="B202" s="9" t="s">
        <v>79</v>
      </c>
      <c r="C202">
        <f>(-0.1*0.2027) + (0.3*0.1705) + (0.2*0.0381)</f>
        <v>3.85E-2</v>
      </c>
      <c r="P202" s="9">
        <f>0.0385</f>
        <v>3.85E-2</v>
      </c>
    </row>
    <row r="204" spans="2:16" x14ac:dyDescent="0.2">
      <c r="B204" s="6" t="s">
        <v>82</v>
      </c>
    </row>
    <row r="205" spans="2:16" x14ac:dyDescent="0.2">
      <c r="B205" s="8" t="s">
        <v>83</v>
      </c>
      <c r="C205" s="18" t="s">
        <v>70</v>
      </c>
      <c r="D205" s="8">
        <v>0.1</v>
      </c>
      <c r="E205" s="8">
        <v>-0.1</v>
      </c>
      <c r="F205" s="8">
        <v>0.05</v>
      </c>
      <c r="G205" s="18" t="s">
        <v>71</v>
      </c>
    </row>
    <row r="206" spans="2:16" x14ac:dyDescent="0.2">
      <c r="B206" s="11" t="s">
        <v>76</v>
      </c>
    </row>
    <row r="207" spans="2:16" x14ac:dyDescent="0.2">
      <c r="B207" s="11" t="s">
        <v>84</v>
      </c>
      <c r="C207">
        <f>0.24 + -0.0068 + 0.1</f>
        <v>0.3332</v>
      </c>
      <c r="P207" s="11">
        <f>0.3332</f>
        <v>0.3332</v>
      </c>
    </row>
    <row r="208" spans="2:16" x14ac:dyDescent="0.2">
      <c r="B208" s="11" t="s">
        <v>85</v>
      </c>
      <c r="C208">
        <f>0.08 + 0.0905 + -0.1</f>
        <v>7.0499999999999979E-2</v>
      </c>
      <c r="P208" s="11">
        <f>0.0705</f>
        <v>7.0499999999999993E-2</v>
      </c>
    </row>
    <row r="209" spans="2:16" x14ac:dyDescent="0.2">
      <c r="B209" s="11" t="s">
        <v>86</v>
      </c>
      <c r="C209">
        <f>0.27 + 0.0385 + 0.05</f>
        <v>0.35849999999999999</v>
      </c>
      <c r="P209" s="11">
        <f>0.3585</f>
        <v>0.35849999999999999</v>
      </c>
    </row>
    <row r="211" spans="2:16" x14ac:dyDescent="0.2">
      <c r="B211" s="4" t="s">
        <v>87</v>
      </c>
    </row>
    <row r="212" spans="2:16" x14ac:dyDescent="0.2">
      <c r="B212" s="9" t="s">
        <v>88</v>
      </c>
      <c r="C212">
        <f>TANH(0.3332)</f>
        <v>0.3213931817992367</v>
      </c>
      <c r="P212" s="9">
        <f>0.3214</f>
        <v>0.32140000000000002</v>
      </c>
    </row>
    <row r="213" spans="2:16" x14ac:dyDescent="0.2">
      <c r="B213" s="9" t="s">
        <v>89</v>
      </c>
      <c r="C213">
        <f>TANH(0.0705)</f>
        <v>7.0383430870602309E-2</v>
      </c>
      <c r="P213" s="9">
        <f>0.0704</f>
        <v>7.0400000000000004E-2</v>
      </c>
    </row>
    <row r="214" spans="2:16" x14ac:dyDescent="0.2">
      <c r="B214" s="9" t="s">
        <v>90</v>
      </c>
      <c r="C214">
        <f>TANH(0.3585)</f>
        <v>0.34389210970070982</v>
      </c>
      <c r="P214" s="9">
        <f>0.3439</f>
        <v>0.34389999999999998</v>
      </c>
    </row>
    <row r="216" spans="2:16" x14ac:dyDescent="0.2">
      <c r="B216" s="4" t="s">
        <v>91</v>
      </c>
      <c r="C216" s="18" t="s">
        <v>70</v>
      </c>
      <c r="D216" s="9">
        <v>0.32140000000000002</v>
      </c>
      <c r="E216" s="9">
        <v>7.0400000000000004E-2</v>
      </c>
      <c r="F216" s="9">
        <v>0.34389999999999998</v>
      </c>
      <c r="G216" s="18" t="s">
        <v>71</v>
      </c>
    </row>
    <row r="219" spans="2:16" x14ac:dyDescent="0.2">
      <c r="B219" s="29" t="s">
        <v>96</v>
      </c>
      <c r="C219" s="26"/>
      <c r="D219" s="26"/>
      <c r="E219" s="26"/>
      <c r="F219" s="26"/>
      <c r="G219" s="26"/>
      <c r="H219" s="26"/>
      <c r="I219" s="26"/>
      <c r="J219" s="26"/>
      <c r="K219" s="26"/>
      <c r="L219" s="27"/>
    </row>
    <row r="221" spans="2:16" x14ac:dyDescent="0.2">
      <c r="B221" s="4" t="s">
        <v>97</v>
      </c>
      <c r="C221" s="18" t="s">
        <v>70</v>
      </c>
      <c r="D221" s="9">
        <v>0.32140000000000002</v>
      </c>
      <c r="E221" s="9">
        <v>7.0400000000000004E-2</v>
      </c>
      <c r="F221" s="9">
        <v>0.34389999999999998</v>
      </c>
      <c r="G221" s="18" t="s">
        <v>71</v>
      </c>
    </row>
    <row r="223" spans="2:16" x14ac:dyDescent="0.2">
      <c r="B223" s="7" t="s">
        <v>98</v>
      </c>
      <c r="C223" s="18" t="s">
        <v>70</v>
      </c>
      <c r="D223" s="12">
        <v>0.5</v>
      </c>
      <c r="E223" s="12">
        <v>-0.3</v>
      </c>
      <c r="F223" s="12">
        <v>0.4</v>
      </c>
      <c r="G223" s="18" t="s">
        <v>71</v>
      </c>
      <c r="I223" s="7" t="s">
        <v>99</v>
      </c>
      <c r="J223" s="12">
        <v>0.1</v>
      </c>
    </row>
    <row r="225" spans="2:2" x14ac:dyDescent="0.2">
      <c r="B225" s="7" t="s">
        <v>100</v>
      </c>
    </row>
    <row r="226" spans="2:2" x14ac:dyDescent="0.2">
      <c r="B226" t="s">
        <v>101</v>
      </c>
    </row>
    <row r="227" spans="2:2" x14ac:dyDescent="0.2">
      <c r="B227" s="12" t="s">
        <v>102</v>
      </c>
    </row>
    <row r="229" spans="2:2" x14ac:dyDescent="0.2">
      <c r="B229" s="7" t="s">
        <v>103</v>
      </c>
    </row>
    <row r="230" spans="2:2" x14ac:dyDescent="0.2">
      <c r="B230" t="s">
        <v>104</v>
      </c>
    </row>
    <row r="231" spans="2:2" x14ac:dyDescent="0.2">
      <c r="B231" t="s">
        <v>105</v>
      </c>
    </row>
    <row r="232" spans="2:2" x14ac:dyDescent="0.2">
      <c r="B232" s="7" t="s">
        <v>106</v>
      </c>
    </row>
    <row r="234" spans="2:2" x14ac:dyDescent="0.2">
      <c r="B234" s="13" t="s">
        <v>107</v>
      </c>
    </row>
    <row r="235" spans="2:2" x14ac:dyDescent="0.2">
      <c r="B235" t="s">
        <v>108</v>
      </c>
    </row>
    <row r="236" spans="2:2" x14ac:dyDescent="0.2">
      <c r="B236" t="s">
        <v>109</v>
      </c>
    </row>
    <row r="237" spans="2:2" x14ac:dyDescent="0.2">
      <c r="B237" s="13" t="s">
        <v>110</v>
      </c>
    </row>
    <row r="241" spans="2:34" x14ac:dyDescent="0.2">
      <c r="B241" s="32" t="s">
        <v>111</v>
      </c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7"/>
    </row>
    <row r="243" spans="2:34" x14ac:dyDescent="0.2">
      <c r="B243" s="31" t="s">
        <v>68</v>
      </c>
      <c r="C243" s="26"/>
      <c r="D243" s="26"/>
      <c r="E243" s="26"/>
      <c r="F243" s="26"/>
      <c r="G243" s="26"/>
      <c r="H243" s="26"/>
      <c r="I243" s="26"/>
      <c r="J243" s="26"/>
      <c r="K243" s="26"/>
      <c r="L243" s="27"/>
    </row>
    <row r="244" spans="2:34" x14ac:dyDescent="0.2">
      <c r="B244" s="5" t="s">
        <v>69</v>
      </c>
      <c r="C244" s="18" t="s">
        <v>70</v>
      </c>
      <c r="D244" s="10">
        <v>0.2</v>
      </c>
      <c r="E244" s="10">
        <v>0.1</v>
      </c>
      <c r="F244" s="10">
        <v>-0.1</v>
      </c>
      <c r="G244" s="10">
        <v>0.3</v>
      </c>
      <c r="H244" s="18" t="s">
        <v>71</v>
      </c>
    </row>
    <row r="245" spans="2:34" x14ac:dyDescent="0.2">
      <c r="B245" s="1" t="s">
        <v>72</v>
      </c>
      <c r="C245" s="18" t="s">
        <v>70</v>
      </c>
      <c r="D245" s="3">
        <v>0</v>
      </c>
      <c r="E245" s="3">
        <v>0</v>
      </c>
      <c r="F245" s="3">
        <v>0</v>
      </c>
      <c r="G245" s="18" t="s">
        <v>71</v>
      </c>
    </row>
    <row r="247" spans="2:34" x14ac:dyDescent="0.2">
      <c r="B247" s="2" t="s">
        <v>73</v>
      </c>
    </row>
    <row r="248" spans="2:34" x14ac:dyDescent="0.2">
      <c r="B248" s="8" t="s">
        <v>74</v>
      </c>
      <c r="D248" s="8">
        <v>0.3</v>
      </c>
      <c r="E248" s="8">
        <v>-0.2</v>
      </c>
      <c r="F248" s="8">
        <v>0.1</v>
      </c>
      <c r="G248" s="8">
        <v>0.4</v>
      </c>
      <c r="I248" s="18" t="s">
        <v>75</v>
      </c>
      <c r="J248" s="10" t="s">
        <v>69</v>
      </c>
      <c r="K248" s="10">
        <v>0.2</v>
      </c>
    </row>
    <row r="249" spans="2:34" x14ac:dyDescent="0.2">
      <c r="D249" s="8">
        <v>-0.1</v>
      </c>
      <c r="E249" s="8">
        <v>0.4</v>
      </c>
      <c r="F249" s="8">
        <v>-0.3</v>
      </c>
      <c r="G249" s="8">
        <v>0.2</v>
      </c>
      <c r="K249" s="10">
        <v>0.1</v>
      </c>
    </row>
    <row r="250" spans="2:34" x14ac:dyDescent="0.2">
      <c r="D250" s="8">
        <v>0.2</v>
      </c>
      <c r="E250" s="8">
        <v>0.1</v>
      </c>
      <c r="F250" s="8">
        <v>0.4</v>
      </c>
      <c r="G250" s="8">
        <v>-0.2</v>
      </c>
      <c r="K250" s="10">
        <v>-0.1</v>
      </c>
    </row>
    <row r="251" spans="2:34" x14ac:dyDescent="0.2">
      <c r="K251" s="10">
        <v>0.3</v>
      </c>
    </row>
    <row r="252" spans="2:34" x14ac:dyDescent="0.2">
      <c r="B252" s="8" t="s">
        <v>76</v>
      </c>
    </row>
    <row r="253" spans="2:34" x14ac:dyDescent="0.2">
      <c r="B253" s="8" t="s">
        <v>77</v>
      </c>
      <c r="C253">
        <f>(0.3*0.2) + (-0.2*0.1) + (0.1*-0.1) + (0.4*0.3)</f>
        <v>0.15</v>
      </c>
      <c r="P253" s="8">
        <f>0.15</f>
        <v>0.15</v>
      </c>
    </row>
    <row r="254" spans="2:34" x14ac:dyDescent="0.2">
      <c r="B254" s="8" t="s">
        <v>78</v>
      </c>
      <c r="C254">
        <f>(-0.1*0.2) + (0.4*0.1) + (-0.3*-0.1) + (0.2*0.3)</f>
        <v>0.11</v>
      </c>
      <c r="P254" s="8">
        <f>0.11</f>
        <v>0.11</v>
      </c>
    </row>
    <row r="255" spans="2:34" x14ac:dyDescent="0.2">
      <c r="B255" s="8" t="s">
        <v>79</v>
      </c>
      <c r="C255">
        <f>(0.2*0.2) + (0.1*0.1) + (0.4*-0.1) + (-0.2*0.3)</f>
        <v>-4.9999999999999996E-2</v>
      </c>
      <c r="P255" s="8">
        <f>-0.05</f>
        <v>-0.05</v>
      </c>
    </row>
    <row r="257" spans="2:16" x14ac:dyDescent="0.2">
      <c r="B257" s="4" t="s">
        <v>80</v>
      </c>
    </row>
    <row r="258" spans="2:16" x14ac:dyDescent="0.2">
      <c r="B258" s="9" t="s">
        <v>81</v>
      </c>
      <c r="D258" s="9">
        <v>0.2</v>
      </c>
      <c r="E258" s="9">
        <v>-0.3</v>
      </c>
      <c r="F258" s="9">
        <v>0.1</v>
      </c>
      <c r="H258" s="18" t="s">
        <v>75</v>
      </c>
      <c r="I258" s="3" t="s">
        <v>72</v>
      </c>
      <c r="K258" s="3">
        <v>0</v>
      </c>
    </row>
    <row r="259" spans="2:16" x14ac:dyDescent="0.2">
      <c r="D259" s="9">
        <v>0.4</v>
      </c>
      <c r="E259" s="9">
        <v>0.1</v>
      </c>
      <c r="F259" s="9">
        <v>-0.2</v>
      </c>
      <c r="K259" s="3">
        <v>0</v>
      </c>
    </row>
    <row r="260" spans="2:16" x14ac:dyDescent="0.2">
      <c r="D260" s="9">
        <v>-0.1</v>
      </c>
      <c r="E260" s="9">
        <v>0.3</v>
      </c>
      <c r="F260" s="9">
        <v>0.2</v>
      </c>
      <c r="K260" s="3">
        <v>0</v>
      </c>
    </row>
    <row r="261" spans="2:16" x14ac:dyDescent="0.2">
      <c r="B261" s="9" t="s">
        <v>76</v>
      </c>
    </row>
    <row r="262" spans="2:16" x14ac:dyDescent="0.2">
      <c r="B262" s="9" t="s">
        <v>77</v>
      </c>
      <c r="C262">
        <f>(0.2*0) + (-0.3*0) + (0.1*0)</f>
        <v>0</v>
      </c>
      <c r="P262" s="9">
        <f>0</f>
        <v>0</v>
      </c>
    </row>
    <row r="263" spans="2:16" x14ac:dyDescent="0.2">
      <c r="B263" s="9" t="s">
        <v>78</v>
      </c>
      <c r="C263">
        <f>(0.4*0) + (0.1*0) + (-0.2*0)</f>
        <v>0</v>
      </c>
      <c r="P263" s="9">
        <f>0</f>
        <v>0</v>
      </c>
    </row>
    <row r="264" spans="2:16" x14ac:dyDescent="0.2">
      <c r="B264" s="9" t="s">
        <v>79</v>
      </c>
      <c r="C264">
        <f>(-0.1*0) + (0.3*0) + (0.2*0)</f>
        <v>0</v>
      </c>
      <c r="P264" s="9">
        <f>0</f>
        <v>0</v>
      </c>
    </row>
    <row r="266" spans="2:16" x14ac:dyDescent="0.2">
      <c r="B266" s="6" t="s">
        <v>82</v>
      </c>
    </row>
    <row r="267" spans="2:16" x14ac:dyDescent="0.2">
      <c r="B267" s="8" t="s">
        <v>83</v>
      </c>
      <c r="C267" s="18" t="s">
        <v>70</v>
      </c>
      <c r="D267" s="8">
        <v>0.1</v>
      </c>
      <c r="E267" s="8">
        <v>-0.1</v>
      </c>
      <c r="F267" s="8">
        <v>0.05</v>
      </c>
      <c r="G267" s="18" t="s">
        <v>71</v>
      </c>
    </row>
    <row r="268" spans="2:16" x14ac:dyDescent="0.2">
      <c r="B268" s="11" t="s">
        <v>76</v>
      </c>
    </row>
    <row r="269" spans="2:16" x14ac:dyDescent="0.2">
      <c r="B269" s="11" t="s">
        <v>84</v>
      </c>
      <c r="C269">
        <f>0.15 + 0 + 0.1</f>
        <v>0.25</v>
      </c>
      <c r="P269" s="11">
        <f>0.25</f>
        <v>0.25</v>
      </c>
    </row>
    <row r="270" spans="2:16" x14ac:dyDescent="0.2">
      <c r="B270" s="11" t="s">
        <v>85</v>
      </c>
      <c r="C270">
        <f>0.11 + 0 + -0.1</f>
        <v>9.999999999999995E-3</v>
      </c>
      <c r="P270" s="11">
        <f>0.01</f>
        <v>0.01</v>
      </c>
    </row>
    <row r="271" spans="2:16" x14ac:dyDescent="0.2">
      <c r="B271" s="11" t="s">
        <v>86</v>
      </c>
      <c r="C271">
        <f>-0.05 + 0 + 0.05</f>
        <v>0</v>
      </c>
      <c r="P271" s="11">
        <f>0</f>
        <v>0</v>
      </c>
    </row>
    <row r="273" spans="2:16" x14ac:dyDescent="0.2">
      <c r="B273" s="4" t="s">
        <v>87</v>
      </c>
    </row>
    <row r="274" spans="2:16" x14ac:dyDescent="0.2">
      <c r="B274" s="9" t="s">
        <v>88</v>
      </c>
      <c r="C274">
        <f>TANH(0.25)</f>
        <v>0.24491866240370913</v>
      </c>
      <c r="P274" s="9">
        <f>0.2449</f>
        <v>0.24490000000000001</v>
      </c>
    </row>
    <row r="275" spans="2:16" x14ac:dyDescent="0.2">
      <c r="B275" s="9" t="s">
        <v>89</v>
      </c>
      <c r="C275">
        <f>TANH(0.01)</f>
        <v>9.9996666799994586E-3</v>
      </c>
      <c r="P275" s="9">
        <f>0.01</f>
        <v>0.01</v>
      </c>
    </row>
    <row r="276" spans="2:16" x14ac:dyDescent="0.2">
      <c r="B276" s="9" t="s">
        <v>90</v>
      </c>
      <c r="C276">
        <f>TANH(0)</f>
        <v>0</v>
      </c>
      <c r="P276" s="9">
        <f>0</f>
        <v>0</v>
      </c>
    </row>
    <row r="278" spans="2:16" x14ac:dyDescent="0.2">
      <c r="B278" s="4" t="s">
        <v>91</v>
      </c>
      <c r="C278" s="18" t="s">
        <v>70</v>
      </c>
      <c r="D278" s="9">
        <v>0.24490000000000001</v>
      </c>
      <c r="E278" s="9">
        <v>0.01</v>
      </c>
      <c r="F278" s="9">
        <v>0</v>
      </c>
      <c r="G278" s="18" t="s">
        <v>71</v>
      </c>
    </row>
    <row r="281" spans="2:16" x14ac:dyDescent="0.2">
      <c r="B281" s="31" t="s">
        <v>112</v>
      </c>
      <c r="C281" s="26"/>
      <c r="D281" s="26"/>
      <c r="E281" s="26"/>
      <c r="F281" s="26"/>
      <c r="G281" s="26"/>
      <c r="H281" s="26"/>
      <c r="I281" s="26"/>
      <c r="J281" s="26"/>
      <c r="K281" s="26"/>
      <c r="L281" s="27"/>
    </row>
    <row r="282" spans="2:16" x14ac:dyDescent="0.2">
      <c r="B282" s="5" t="s">
        <v>69</v>
      </c>
      <c r="C282" s="18" t="s">
        <v>70</v>
      </c>
      <c r="D282" s="10">
        <v>0.4</v>
      </c>
      <c r="E282" s="10">
        <v>0.2</v>
      </c>
      <c r="F282" s="10">
        <v>0.3</v>
      </c>
      <c r="G282" s="10">
        <v>-0.1</v>
      </c>
      <c r="H282" s="18" t="s">
        <v>71</v>
      </c>
    </row>
    <row r="283" spans="2:16" x14ac:dyDescent="0.2">
      <c r="B283" s="1" t="s">
        <v>72</v>
      </c>
      <c r="C283" s="18" t="s">
        <v>70</v>
      </c>
      <c r="D283" s="3">
        <v>0.24490000000000001</v>
      </c>
      <c r="E283" s="3">
        <v>0.01</v>
      </c>
      <c r="F283" s="3">
        <v>0</v>
      </c>
      <c r="G283" s="18" t="s">
        <v>71</v>
      </c>
    </row>
    <row r="285" spans="2:16" x14ac:dyDescent="0.2">
      <c r="B285" s="2" t="s">
        <v>73</v>
      </c>
    </row>
    <row r="286" spans="2:16" x14ac:dyDescent="0.2">
      <c r="B286" s="8" t="s">
        <v>74</v>
      </c>
      <c r="D286" s="8">
        <v>0.3</v>
      </c>
      <c r="E286" s="8">
        <v>-0.2</v>
      </c>
      <c r="F286" s="8">
        <v>0.1</v>
      </c>
      <c r="G286" s="8">
        <v>0.4</v>
      </c>
      <c r="I286" s="18" t="s">
        <v>75</v>
      </c>
      <c r="J286" s="10" t="s">
        <v>69</v>
      </c>
      <c r="K286" s="10">
        <v>0.4</v>
      </c>
    </row>
    <row r="287" spans="2:16" x14ac:dyDescent="0.2">
      <c r="D287" s="8">
        <v>-0.1</v>
      </c>
      <c r="E287" s="8">
        <v>0.4</v>
      </c>
      <c r="F287" s="8">
        <v>-0.3</v>
      </c>
      <c r="G287" s="8">
        <v>0.2</v>
      </c>
      <c r="K287" s="10">
        <v>0.2</v>
      </c>
    </row>
    <row r="288" spans="2:16" x14ac:dyDescent="0.2">
      <c r="D288" s="8">
        <v>0.2</v>
      </c>
      <c r="E288" s="8">
        <v>0.1</v>
      </c>
      <c r="F288" s="8">
        <v>0.4</v>
      </c>
      <c r="G288" s="8">
        <v>-0.2</v>
      </c>
      <c r="K288" s="10">
        <v>0.3</v>
      </c>
    </row>
    <row r="289" spans="2:16" x14ac:dyDescent="0.2">
      <c r="K289" s="10">
        <v>-0.1</v>
      </c>
    </row>
    <row r="290" spans="2:16" x14ac:dyDescent="0.2">
      <c r="B290" s="8" t="s">
        <v>76</v>
      </c>
    </row>
    <row r="291" spans="2:16" x14ac:dyDescent="0.2">
      <c r="B291" s="8" t="s">
        <v>77</v>
      </c>
      <c r="C291">
        <f>(0.3*0.4) + (-0.2*0.2) + (0.1*0.3) + (0.4*-0.1)</f>
        <v>6.9999999999999979E-2</v>
      </c>
      <c r="P291" s="8">
        <f>0.07</f>
        <v>7.0000000000000007E-2</v>
      </c>
    </row>
    <row r="292" spans="2:16" x14ac:dyDescent="0.2">
      <c r="B292" s="8" t="s">
        <v>78</v>
      </c>
      <c r="C292">
        <f>(-0.1*0.4) + (0.4*0.2) + (-0.3*0.3) + (0.2*-0.1)</f>
        <v>-6.9999999999999993E-2</v>
      </c>
      <c r="P292" s="8">
        <f>-0.07</f>
        <v>-7.0000000000000007E-2</v>
      </c>
    </row>
    <row r="293" spans="2:16" x14ac:dyDescent="0.2">
      <c r="B293" s="8" t="s">
        <v>79</v>
      </c>
      <c r="C293">
        <f>(0.2*0.4) + (0.1*0.2) + (0.4*0.3) + (-0.2*-0.1)</f>
        <v>0.24000000000000005</v>
      </c>
      <c r="P293" s="8">
        <f>0.24</f>
        <v>0.24</v>
      </c>
    </row>
    <row r="295" spans="2:16" x14ac:dyDescent="0.2">
      <c r="B295" s="4" t="s">
        <v>80</v>
      </c>
    </row>
    <row r="296" spans="2:16" x14ac:dyDescent="0.2">
      <c r="B296" s="9" t="s">
        <v>81</v>
      </c>
      <c r="D296" s="9">
        <v>0.2</v>
      </c>
      <c r="E296" s="9">
        <v>-0.3</v>
      </c>
      <c r="F296" s="9">
        <v>0.1</v>
      </c>
      <c r="H296" s="18" t="s">
        <v>75</v>
      </c>
      <c r="I296" s="3" t="s">
        <v>72</v>
      </c>
      <c r="K296" s="3">
        <v>0.24490000000000001</v>
      </c>
    </row>
    <row r="297" spans="2:16" x14ac:dyDescent="0.2">
      <c r="D297" s="9">
        <v>0.4</v>
      </c>
      <c r="E297" s="9">
        <v>0.1</v>
      </c>
      <c r="F297" s="9">
        <v>-0.2</v>
      </c>
      <c r="K297" s="3">
        <v>0.01</v>
      </c>
    </row>
    <row r="298" spans="2:16" x14ac:dyDescent="0.2">
      <c r="D298" s="9">
        <v>-0.1</v>
      </c>
      <c r="E298" s="9">
        <v>0.3</v>
      </c>
      <c r="F298" s="9">
        <v>0.2</v>
      </c>
      <c r="K298" s="3">
        <v>0</v>
      </c>
    </row>
    <row r="299" spans="2:16" x14ac:dyDescent="0.2">
      <c r="B299" s="9" t="s">
        <v>76</v>
      </c>
    </row>
    <row r="300" spans="2:16" x14ac:dyDescent="0.2">
      <c r="B300" s="9" t="s">
        <v>77</v>
      </c>
      <c r="C300">
        <f>(0.2*0.2449) + (-0.3*0.01) + (0.1*0)</f>
        <v>4.598E-2</v>
      </c>
      <c r="P300" s="9">
        <f>0.046</f>
        <v>4.5999999999999999E-2</v>
      </c>
    </row>
    <row r="301" spans="2:16" x14ac:dyDescent="0.2">
      <c r="B301" s="9" t="s">
        <v>78</v>
      </c>
      <c r="C301">
        <f>(0.4*0.2449) + (0.1*0.01) + (-0.2*0)</f>
        <v>9.8960000000000006E-2</v>
      </c>
      <c r="P301" s="9">
        <f>0.099</f>
        <v>9.9000000000000005E-2</v>
      </c>
    </row>
    <row r="302" spans="2:16" x14ac:dyDescent="0.2">
      <c r="B302" s="9" t="s">
        <v>79</v>
      </c>
      <c r="C302">
        <f>(-0.1*0.2449) + (0.3*0.01) + (0.2*0)</f>
        <v>-2.1490000000000002E-2</v>
      </c>
      <c r="P302" s="9">
        <f>-0.0215</f>
        <v>-2.1499999999999998E-2</v>
      </c>
    </row>
    <row r="304" spans="2:16" x14ac:dyDescent="0.2">
      <c r="B304" s="6" t="s">
        <v>82</v>
      </c>
    </row>
    <row r="305" spans="2:16" x14ac:dyDescent="0.2">
      <c r="B305" s="8" t="s">
        <v>83</v>
      </c>
      <c r="C305" s="18" t="s">
        <v>70</v>
      </c>
      <c r="D305" s="8">
        <v>0.1</v>
      </c>
      <c r="E305" s="8">
        <v>-0.1</v>
      </c>
      <c r="F305" s="8">
        <v>0.05</v>
      </c>
      <c r="G305" s="18" t="s">
        <v>71</v>
      </c>
    </row>
    <row r="306" spans="2:16" x14ac:dyDescent="0.2">
      <c r="B306" s="11" t="s">
        <v>76</v>
      </c>
    </row>
    <row r="307" spans="2:16" x14ac:dyDescent="0.2">
      <c r="B307" s="11" t="s">
        <v>84</v>
      </c>
      <c r="C307">
        <f>0.07 + 0.046 + 0.1</f>
        <v>0.21600000000000003</v>
      </c>
      <c r="P307" s="11">
        <f>0.216</f>
        <v>0.216</v>
      </c>
    </row>
    <row r="308" spans="2:16" x14ac:dyDescent="0.2">
      <c r="B308" s="11" t="s">
        <v>85</v>
      </c>
      <c r="C308">
        <f>-0.07 + 0.099 + -0.1</f>
        <v>-7.1000000000000008E-2</v>
      </c>
      <c r="P308" s="11">
        <f>-0.071</f>
        <v>-7.0999999999999994E-2</v>
      </c>
    </row>
    <row r="309" spans="2:16" x14ac:dyDescent="0.2">
      <c r="B309" s="11" t="s">
        <v>86</v>
      </c>
      <c r="C309">
        <f>0.24 + -0.0215 + 0.05</f>
        <v>0.26850000000000002</v>
      </c>
      <c r="P309" s="11">
        <f>0.2685</f>
        <v>0.26850000000000002</v>
      </c>
    </row>
    <row r="311" spans="2:16" x14ac:dyDescent="0.2">
      <c r="B311" s="4" t="s">
        <v>87</v>
      </c>
    </row>
    <row r="312" spans="2:16" x14ac:dyDescent="0.2">
      <c r="B312" s="9" t="s">
        <v>88</v>
      </c>
      <c r="C312">
        <f>TANH(0.216)</f>
        <v>0.21270229740018173</v>
      </c>
      <c r="P312" s="9">
        <f>0.2127</f>
        <v>0.2127</v>
      </c>
    </row>
    <row r="313" spans="2:16" x14ac:dyDescent="0.2">
      <c r="B313" s="9" t="s">
        <v>89</v>
      </c>
      <c r="C313">
        <f>TANH(-0.071)</f>
        <v>-7.0880936407399661E-2</v>
      </c>
      <c r="P313" s="9">
        <f>-0.0709</f>
        <v>-7.0900000000000005E-2</v>
      </c>
    </row>
    <row r="314" spans="2:16" x14ac:dyDescent="0.2">
      <c r="B314" s="9" t="s">
        <v>90</v>
      </c>
      <c r="C314">
        <f>TANH(0.2685)</f>
        <v>0.26222853144962044</v>
      </c>
      <c r="P314" s="9">
        <f>0.2622</f>
        <v>0.26219999999999999</v>
      </c>
    </row>
    <row r="316" spans="2:16" x14ac:dyDescent="0.2">
      <c r="B316" s="4" t="s">
        <v>91</v>
      </c>
      <c r="C316" s="18" t="s">
        <v>70</v>
      </c>
      <c r="D316" s="9">
        <v>0.2127</v>
      </c>
      <c r="E316" s="9">
        <v>-7.0900000000000005E-2</v>
      </c>
      <c r="F316" s="9">
        <v>0.26219999999999999</v>
      </c>
      <c r="G316" s="18" t="s">
        <v>71</v>
      </c>
    </row>
    <row r="319" spans="2:16" x14ac:dyDescent="0.2">
      <c r="B319" s="31" t="s">
        <v>93</v>
      </c>
      <c r="C319" s="26"/>
      <c r="D319" s="26"/>
      <c r="E319" s="26"/>
      <c r="F319" s="26"/>
      <c r="G319" s="26"/>
      <c r="H319" s="26"/>
      <c r="I319" s="26"/>
      <c r="J319" s="26"/>
      <c r="K319" s="26"/>
      <c r="L319" s="27"/>
    </row>
    <row r="320" spans="2:16" x14ac:dyDescent="0.2">
      <c r="B320" s="5" t="s">
        <v>69</v>
      </c>
      <c r="C320" s="18" t="s">
        <v>70</v>
      </c>
      <c r="D320" s="10">
        <v>-0.1</v>
      </c>
      <c r="E320" s="10">
        <v>0.2</v>
      </c>
      <c r="F320" s="10">
        <v>0.1</v>
      </c>
      <c r="G320" s="10">
        <v>0.1</v>
      </c>
      <c r="H320" s="18" t="s">
        <v>71</v>
      </c>
    </row>
    <row r="321" spans="2:16" x14ac:dyDescent="0.2">
      <c r="B321" s="1" t="s">
        <v>72</v>
      </c>
      <c r="C321" s="18" t="s">
        <v>70</v>
      </c>
      <c r="D321" s="3">
        <v>0.2127</v>
      </c>
      <c r="E321" s="3">
        <v>-7.0900000000000005E-2</v>
      </c>
      <c r="F321" s="3">
        <v>0.26219999999999999</v>
      </c>
      <c r="G321" s="18" t="s">
        <v>71</v>
      </c>
    </row>
    <row r="323" spans="2:16" x14ac:dyDescent="0.2">
      <c r="B323" s="2" t="s">
        <v>73</v>
      </c>
    </row>
    <row r="324" spans="2:16" x14ac:dyDescent="0.2">
      <c r="B324" s="8" t="s">
        <v>74</v>
      </c>
      <c r="D324" s="8">
        <v>0.3</v>
      </c>
      <c r="E324" s="8">
        <v>-0.2</v>
      </c>
      <c r="F324" s="8">
        <v>0.1</v>
      </c>
      <c r="G324" s="8">
        <v>0.4</v>
      </c>
      <c r="I324" s="18" t="s">
        <v>75</v>
      </c>
      <c r="J324" s="10" t="s">
        <v>69</v>
      </c>
      <c r="K324" s="10">
        <v>-0.1</v>
      </c>
    </row>
    <row r="325" spans="2:16" x14ac:dyDescent="0.2">
      <c r="D325" s="8">
        <v>-0.1</v>
      </c>
      <c r="E325" s="8">
        <v>0.4</v>
      </c>
      <c r="F325" s="8">
        <v>-0.3</v>
      </c>
      <c r="G325" s="8">
        <v>0.2</v>
      </c>
      <c r="K325" s="10">
        <v>0.2</v>
      </c>
    </row>
    <row r="326" spans="2:16" x14ac:dyDescent="0.2">
      <c r="D326" s="8">
        <v>0.2</v>
      </c>
      <c r="E326" s="8">
        <v>0.1</v>
      </c>
      <c r="F326" s="8">
        <v>0.4</v>
      </c>
      <c r="G326" s="8">
        <v>-0.2</v>
      </c>
      <c r="K326" s="10">
        <v>0.1</v>
      </c>
    </row>
    <row r="327" spans="2:16" x14ac:dyDescent="0.2">
      <c r="K327" s="10">
        <v>0.1</v>
      </c>
    </row>
    <row r="328" spans="2:16" x14ac:dyDescent="0.2">
      <c r="B328" s="8" t="s">
        <v>76</v>
      </c>
    </row>
    <row r="329" spans="2:16" x14ac:dyDescent="0.2">
      <c r="B329" s="8" t="s">
        <v>77</v>
      </c>
      <c r="C329">
        <f>(0.3*-0.1) + (-0.2*0.2) + (0.1*0.1) + (0.4*0.1)</f>
        <v>-1.9999999999999997E-2</v>
      </c>
      <c r="P329" s="8">
        <f>-0.02</f>
        <v>-0.02</v>
      </c>
    </row>
    <row r="330" spans="2:16" x14ac:dyDescent="0.2">
      <c r="B330" s="8" t="s">
        <v>78</v>
      </c>
      <c r="C330">
        <f>(-0.1*-0.1) + (0.4*0.2) + (-0.3*0.1) + (0.2*0.1)</f>
        <v>8.0000000000000029E-2</v>
      </c>
      <c r="P330" s="8">
        <f>0.08</f>
        <v>0.08</v>
      </c>
    </row>
    <row r="331" spans="2:16" x14ac:dyDescent="0.2">
      <c r="B331" s="8" t="s">
        <v>79</v>
      </c>
      <c r="C331">
        <f>(0.2*-0.1) + (0.1*0.2) + (0.4*0.1) + (-0.2*0.1)</f>
        <v>2.0000000000000004E-2</v>
      </c>
      <c r="P331" s="8">
        <f>0.02</f>
        <v>0.02</v>
      </c>
    </row>
    <row r="333" spans="2:16" x14ac:dyDescent="0.2">
      <c r="B333" s="4" t="s">
        <v>80</v>
      </c>
    </row>
    <row r="334" spans="2:16" x14ac:dyDescent="0.2">
      <c r="B334" s="9" t="s">
        <v>81</v>
      </c>
      <c r="D334" s="9">
        <v>0.2</v>
      </c>
      <c r="E334" s="9">
        <v>-0.3</v>
      </c>
      <c r="F334" s="9">
        <v>0.1</v>
      </c>
      <c r="H334" s="18" t="s">
        <v>75</v>
      </c>
      <c r="I334" s="3" t="s">
        <v>72</v>
      </c>
      <c r="K334" s="3">
        <v>0.2127</v>
      </c>
    </row>
    <row r="335" spans="2:16" x14ac:dyDescent="0.2">
      <c r="D335" s="9">
        <v>0.4</v>
      </c>
      <c r="E335" s="9">
        <v>0.1</v>
      </c>
      <c r="F335" s="9">
        <v>-0.2</v>
      </c>
      <c r="K335" s="3">
        <v>-7.0900000000000005E-2</v>
      </c>
    </row>
    <row r="336" spans="2:16" x14ac:dyDescent="0.2">
      <c r="D336" s="9">
        <v>-0.1</v>
      </c>
      <c r="E336" s="9">
        <v>0.3</v>
      </c>
      <c r="F336" s="9">
        <v>0.2</v>
      </c>
      <c r="K336" s="3">
        <v>0.26219999999999999</v>
      </c>
    </row>
    <row r="337" spans="2:16" x14ac:dyDescent="0.2">
      <c r="B337" s="9" t="s">
        <v>76</v>
      </c>
    </row>
    <row r="338" spans="2:16" x14ac:dyDescent="0.2">
      <c r="B338" s="9" t="s">
        <v>77</v>
      </c>
      <c r="C338">
        <f>(0.2*0.2127) + (-0.3*-0.0709) + (0.1*0.2622)</f>
        <v>9.0029999999999999E-2</v>
      </c>
      <c r="P338" s="9">
        <f>0.09</f>
        <v>0.09</v>
      </c>
    </row>
    <row r="339" spans="2:16" x14ac:dyDescent="0.2">
      <c r="B339" s="9" t="s">
        <v>78</v>
      </c>
      <c r="C339">
        <f>(0.4*0.2127) + (0.1*-0.0709) + (-0.2*0.2622)</f>
        <v>2.5550000000000003E-2</v>
      </c>
      <c r="P339" s="9">
        <f>0.0255</f>
        <v>2.5499999999999998E-2</v>
      </c>
    </row>
    <row r="340" spans="2:16" x14ac:dyDescent="0.2">
      <c r="B340" s="9" t="s">
        <v>79</v>
      </c>
      <c r="C340">
        <f>(-0.1*0.2127) + (0.3*-0.0709) + (0.2*0.2622)</f>
        <v>9.8999999999999991E-3</v>
      </c>
      <c r="P340" s="9">
        <f>0.0099</f>
        <v>9.9000000000000008E-3</v>
      </c>
    </row>
    <row r="342" spans="2:16" x14ac:dyDescent="0.2">
      <c r="B342" s="6" t="s">
        <v>82</v>
      </c>
    </row>
    <row r="343" spans="2:16" x14ac:dyDescent="0.2">
      <c r="B343" s="8" t="s">
        <v>83</v>
      </c>
      <c r="C343" s="18" t="s">
        <v>70</v>
      </c>
      <c r="D343" s="8">
        <v>0.1</v>
      </c>
      <c r="E343" s="8">
        <v>-0.1</v>
      </c>
      <c r="F343" s="8">
        <v>0.05</v>
      </c>
      <c r="G343" s="18" t="s">
        <v>71</v>
      </c>
    </row>
    <row r="344" spans="2:16" x14ac:dyDescent="0.2">
      <c r="B344" s="11" t="s">
        <v>76</v>
      </c>
    </row>
    <row r="345" spans="2:16" x14ac:dyDescent="0.2">
      <c r="B345" s="11" t="s">
        <v>84</v>
      </c>
      <c r="C345">
        <f>-0.02 + 0.09 + 0.1</f>
        <v>0.16999999999999998</v>
      </c>
      <c r="P345" s="11">
        <f>0.17</f>
        <v>0.17</v>
      </c>
    </row>
    <row r="346" spans="2:16" x14ac:dyDescent="0.2">
      <c r="B346" s="11" t="s">
        <v>85</v>
      </c>
      <c r="C346">
        <f>0.08 + 0.0255 + -0.1</f>
        <v>5.499999999999991E-3</v>
      </c>
      <c r="P346" s="11">
        <f>0.0055</f>
        <v>5.4999999999999997E-3</v>
      </c>
    </row>
    <row r="347" spans="2:16" x14ac:dyDescent="0.2">
      <c r="B347" s="11" t="s">
        <v>86</v>
      </c>
      <c r="C347">
        <f>0.02 + 0.0099 + 0.05</f>
        <v>7.9899999999999999E-2</v>
      </c>
      <c r="P347" s="11">
        <f>0.0799</f>
        <v>7.9899999999999999E-2</v>
      </c>
    </row>
    <row r="349" spans="2:16" x14ac:dyDescent="0.2">
      <c r="B349" s="4" t="s">
        <v>87</v>
      </c>
    </row>
    <row r="350" spans="2:16" x14ac:dyDescent="0.2">
      <c r="B350" s="9" t="s">
        <v>88</v>
      </c>
      <c r="C350">
        <f>TANH(0.17)</f>
        <v>0.16838104587081473</v>
      </c>
      <c r="P350" s="9">
        <f>0.1684</f>
        <v>0.16839999999999999</v>
      </c>
    </row>
    <row r="351" spans="2:16" x14ac:dyDescent="0.2">
      <c r="B351" s="9" t="s">
        <v>89</v>
      </c>
      <c r="C351">
        <f>TANH(0.0055)</f>
        <v>5.4999445423377039E-3</v>
      </c>
      <c r="P351" s="9">
        <f>0.0055</f>
        <v>5.4999999999999997E-3</v>
      </c>
    </row>
    <row r="352" spans="2:16" x14ac:dyDescent="0.2">
      <c r="B352" s="9" t="s">
        <v>90</v>
      </c>
      <c r="C352">
        <f>TANH(0.0799)</f>
        <v>7.973040559744958E-2</v>
      </c>
      <c r="P352" s="9">
        <f>0.0797</f>
        <v>7.9699999999999993E-2</v>
      </c>
    </row>
    <row r="354" spans="2:16" x14ac:dyDescent="0.2">
      <c r="B354" s="4" t="s">
        <v>91</v>
      </c>
      <c r="C354" s="18" t="s">
        <v>70</v>
      </c>
      <c r="D354" s="9">
        <v>0.16839999999999999</v>
      </c>
      <c r="E354" s="9">
        <v>5.4999999999999997E-3</v>
      </c>
      <c r="F354" s="9">
        <v>7.9699999999999993E-2</v>
      </c>
      <c r="G354" s="18" t="s">
        <v>71</v>
      </c>
    </row>
    <row r="357" spans="2:16" x14ac:dyDescent="0.2">
      <c r="B357" s="31" t="s">
        <v>113</v>
      </c>
      <c r="C357" s="26"/>
      <c r="D357" s="26"/>
      <c r="E357" s="26"/>
      <c r="F357" s="26"/>
      <c r="G357" s="26"/>
      <c r="H357" s="26"/>
      <c r="I357" s="26"/>
      <c r="J357" s="26"/>
      <c r="K357" s="26"/>
      <c r="L357" s="27"/>
    </row>
    <row r="358" spans="2:16" x14ac:dyDescent="0.2">
      <c r="B358" s="5" t="s">
        <v>69</v>
      </c>
      <c r="C358" s="18" t="s">
        <v>70</v>
      </c>
      <c r="D358" s="10">
        <v>-0.5</v>
      </c>
      <c r="E358" s="10">
        <v>-0.4</v>
      </c>
      <c r="F358" s="10">
        <v>-0.3</v>
      </c>
      <c r="G358" s="10">
        <v>-0.2</v>
      </c>
      <c r="H358" s="18" t="s">
        <v>71</v>
      </c>
    </row>
    <row r="359" spans="2:16" x14ac:dyDescent="0.2">
      <c r="B359" s="1" t="s">
        <v>72</v>
      </c>
      <c r="C359" s="18" t="s">
        <v>70</v>
      </c>
      <c r="D359" s="3">
        <v>0.16839999999999999</v>
      </c>
      <c r="E359" s="3">
        <v>5.4999999999999997E-3</v>
      </c>
      <c r="F359" s="3">
        <v>7.9699999999999993E-2</v>
      </c>
      <c r="G359" s="18" t="s">
        <v>71</v>
      </c>
    </row>
    <row r="361" spans="2:16" x14ac:dyDescent="0.2">
      <c r="B361" s="2" t="s">
        <v>73</v>
      </c>
    </row>
    <row r="362" spans="2:16" x14ac:dyDescent="0.2">
      <c r="B362" s="8" t="s">
        <v>74</v>
      </c>
      <c r="D362" s="8">
        <v>0.3</v>
      </c>
      <c r="E362" s="8">
        <v>-0.2</v>
      </c>
      <c r="F362" s="8">
        <v>0.1</v>
      </c>
      <c r="G362" s="8">
        <v>0.4</v>
      </c>
      <c r="I362" s="18" t="s">
        <v>75</v>
      </c>
      <c r="J362" s="10" t="s">
        <v>69</v>
      </c>
      <c r="K362" s="10">
        <v>-0.5</v>
      </c>
    </row>
    <row r="363" spans="2:16" x14ac:dyDescent="0.2">
      <c r="D363" s="8">
        <v>-0.1</v>
      </c>
      <c r="E363" s="8">
        <v>0.4</v>
      </c>
      <c r="F363" s="8">
        <v>-0.3</v>
      </c>
      <c r="G363" s="8">
        <v>0.2</v>
      </c>
      <c r="K363" s="10">
        <v>-0.4</v>
      </c>
    </row>
    <row r="364" spans="2:16" x14ac:dyDescent="0.2">
      <c r="D364" s="8">
        <v>0.2</v>
      </c>
      <c r="E364" s="8">
        <v>0.1</v>
      </c>
      <c r="F364" s="8">
        <v>0.4</v>
      </c>
      <c r="G364" s="8">
        <v>-0.2</v>
      </c>
      <c r="K364" s="10">
        <v>-0.3</v>
      </c>
    </row>
    <row r="365" spans="2:16" x14ac:dyDescent="0.2">
      <c r="K365" s="10">
        <v>-0.2</v>
      </c>
    </row>
    <row r="366" spans="2:16" x14ac:dyDescent="0.2">
      <c r="B366" s="8" t="s">
        <v>76</v>
      </c>
    </row>
    <row r="367" spans="2:16" x14ac:dyDescent="0.2">
      <c r="B367" s="8" t="s">
        <v>77</v>
      </c>
      <c r="C367">
        <f>(0.3*-0.5) + (-0.2*-0.4) + (0.1*-0.3) + (0.4*-0.2)</f>
        <v>-0.18</v>
      </c>
      <c r="P367" s="8">
        <f>-0.18</f>
        <v>-0.18</v>
      </c>
    </row>
    <row r="368" spans="2:16" x14ac:dyDescent="0.2">
      <c r="B368" s="8" t="s">
        <v>78</v>
      </c>
      <c r="C368">
        <f>(-0.1*-0.5) + (0.4*-0.4) + (-0.3*-0.3) + (0.2*-0.2)</f>
        <v>-6.0000000000000039E-2</v>
      </c>
      <c r="P368" s="8">
        <f>-0.06</f>
        <v>-0.06</v>
      </c>
    </row>
    <row r="369" spans="2:16" x14ac:dyDescent="0.2">
      <c r="B369" s="8" t="s">
        <v>79</v>
      </c>
      <c r="C369">
        <f>(0.2*-0.5) + (0.1*-0.4) + (0.4*-0.3) + (-0.2*-0.2)</f>
        <v>-0.22</v>
      </c>
      <c r="P369" s="8">
        <f>-0.22</f>
        <v>-0.22</v>
      </c>
    </row>
    <row r="371" spans="2:16" x14ac:dyDescent="0.2">
      <c r="B371" s="4" t="s">
        <v>80</v>
      </c>
    </row>
    <row r="372" spans="2:16" x14ac:dyDescent="0.2">
      <c r="B372" s="9" t="s">
        <v>81</v>
      </c>
      <c r="D372" s="9">
        <v>0.2</v>
      </c>
      <c r="E372" s="9">
        <v>-0.3</v>
      </c>
      <c r="F372" s="9">
        <v>0.1</v>
      </c>
      <c r="H372" s="18" t="s">
        <v>75</v>
      </c>
      <c r="I372" s="3" t="s">
        <v>72</v>
      </c>
      <c r="K372" s="3">
        <v>0.16839999999999999</v>
      </c>
    </row>
    <row r="373" spans="2:16" x14ac:dyDescent="0.2">
      <c r="D373" s="9">
        <v>0.4</v>
      </c>
      <c r="E373" s="9">
        <v>0.1</v>
      </c>
      <c r="F373" s="9">
        <v>-0.2</v>
      </c>
      <c r="K373" s="3">
        <v>5.4999999999999997E-3</v>
      </c>
    </row>
    <row r="374" spans="2:16" x14ac:dyDescent="0.2">
      <c r="D374" s="9">
        <v>-0.1</v>
      </c>
      <c r="E374" s="9">
        <v>0.3</v>
      </c>
      <c r="F374" s="9">
        <v>0.2</v>
      </c>
      <c r="K374" s="3">
        <v>7.9699999999999993E-2</v>
      </c>
    </row>
    <row r="375" spans="2:16" x14ac:dyDescent="0.2">
      <c r="B375" s="9" t="s">
        <v>76</v>
      </c>
    </row>
    <row r="376" spans="2:16" x14ac:dyDescent="0.2">
      <c r="B376" s="9" t="s">
        <v>77</v>
      </c>
      <c r="C376">
        <f>(0.2*0.1684) + (-0.3*0.0055) + (0.1*0.0797)</f>
        <v>0.04</v>
      </c>
      <c r="P376" s="9">
        <f>0.04</f>
        <v>0.04</v>
      </c>
    </row>
    <row r="377" spans="2:16" x14ac:dyDescent="0.2">
      <c r="B377" s="9" t="s">
        <v>78</v>
      </c>
      <c r="C377">
        <f>(0.4*0.1684) + (0.1*0.0055) + (-0.2*0.0797)</f>
        <v>5.1970000000000002E-2</v>
      </c>
      <c r="P377" s="9">
        <f>0.052</f>
        <v>5.1999999999999998E-2</v>
      </c>
    </row>
    <row r="378" spans="2:16" x14ac:dyDescent="0.2">
      <c r="B378" s="9" t="s">
        <v>79</v>
      </c>
      <c r="C378">
        <f>(-0.1*0.1684) + (0.3*0.0055) + (0.2*0.0797)</f>
        <v>7.4999999999999893E-4</v>
      </c>
      <c r="P378" s="9">
        <f>0.0008</f>
        <v>8.0000000000000004E-4</v>
      </c>
    </row>
    <row r="380" spans="2:16" x14ac:dyDescent="0.2">
      <c r="B380" s="6" t="s">
        <v>82</v>
      </c>
    </row>
    <row r="381" spans="2:16" x14ac:dyDescent="0.2">
      <c r="B381" s="8" t="s">
        <v>83</v>
      </c>
      <c r="C381" s="18" t="s">
        <v>70</v>
      </c>
      <c r="D381" s="8">
        <v>0.1</v>
      </c>
      <c r="E381" s="8">
        <v>-0.1</v>
      </c>
      <c r="F381" s="8">
        <v>0.05</v>
      </c>
      <c r="G381" s="18" t="s">
        <v>71</v>
      </c>
    </row>
    <row r="382" spans="2:16" x14ac:dyDescent="0.2">
      <c r="B382" s="11" t="s">
        <v>76</v>
      </c>
    </row>
    <row r="383" spans="2:16" x14ac:dyDescent="0.2">
      <c r="B383" s="11" t="s">
        <v>84</v>
      </c>
      <c r="C383">
        <f>-0.18 + 0.04 + 0.1</f>
        <v>-3.999999999999998E-2</v>
      </c>
      <c r="P383" s="11">
        <f>-0.04</f>
        <v>-0.04</v>
      </c>
    </row>
    <row r="384" spans="2:16" x14ac:dyDescent="0.2">
      <c r="B384" s="11" t="s">
        <v>85</v>
      </c>
      <c r="C384">
        <f>-0.06 + 0.052 + -0.1</f>
        <v>-0.10800000000000001</v>
      </c>
      <c r="P384" s="11">
        <f>-0.108</f>
        <v>-0.108</v>
      </c>
    </row>
    <row r="385" spans="2:16" x14ac:dyDescent="0.2">
      <c r="B385" s="11" t="s">
        <v>86</v>
      </c>
      <c r="C385">
        <f>-0.22 + 0.0008 + 0.05</f>
        <v>-0.16920000000000002</v>
      </c>
      <c r="P385" s="11">
        <f>-0.1692</f>
        <v>-0.16919999999999999</v>
      </c>
    </row>
    <row r="387" spans="2:16" x14ac:dyDescent="0.2">
      <c r="B387" s="4" t="s">
        <v>87</v>
      </c>
    </row>
    <row r="388" spans="2:16" x14ac:dyDescent="0.2">
      <c r="B388" s="9" t="s">
        <v>88</v>
      </c>
      <c r="C388">
        <f>TANH(-0.04)</f>
        <v>-3.9978680311163563E-2</v>
      </c>
      <c r="P388" s="9">
        <f>-0.04</f>
        <v>-0.04</v>
      </c>
    </row>
    <row r="389" spans="2:16" x14ac:dyDescent="0.2">
      <c r="B389" s="9" t="s">
        <v>89</v>
      </c>
      <c r="C389">
        <f>TANH(-0.108)</f>
        <v>-0.10758204589840356</v>
      </c>
      <c r="P389" s="9">
        <f>-0.1076</f>
        <v>-0.1076</v>
      </c>
    </row>
    <row r="390" spans="2:16" x14ac:dyDescent="0.2">
      <c r="B390" s="9" t="s">
        <v>90</v>
      </c>
      <c r="C390">
        <f>TANH(-0.1692)</f>
        <v>-0.16760362305533832</v>
      </c>
      <c r="P390" s="9">
        <f>-0.1676</f>
        <v>-0.1676</v>
      </c>
    </row>
    <row r="392" spans="2:16" x14ac:dyDescent="0.2">
      <c r="B392" s="4" t="s">
        <v>91</v>
      </c>
      <c r="C392" s="18" t="s">
        <v>70</v>
      </c>
      <c r="D392" s="9">
        <v>-0.04</v>
      </c>
      <c r="E392" s="9">
        <v>-0.1076</v>
      </c>
      <c r="F392" s="9">
        <v>-0.1676</v>
      </c>
      <c r="G392" s="18" t="s">
        <v>71</v>
      </c>
    </row>
    <row r="395" spans="2:16" x14ac:dyDescent="0.2">
      <c r="B395" s="29" t="s">
        <v>96</v>
      </c>
      <c r="C395" s="26"/>
      <c r="D395" s="26"/>
      <c r="E395" s="26"/>
      <c r="F395" s="26"/>
      <c r="G395" s="26"/>
      <c r="H395" s="26"/>
      <c r="I395" s="26"/>
      <c r="J395" s="26"/>
      <c r="K395" s="26"/>
      <c r="L395" s="27"/>
    </row>
    <row r="397" spans="2:16" x14ac:dyDescent="0.2">
      <c r="B397" s="4" t="s">
        <v>97</v>
      </c>
      <c r="C397" s="18" t="s">
        <v>70</v>
      </c>
      <c r="D397" s="9">
        <v>-0.04</v>
      </c>
      <c r="E397" s="9">
        <v>-0.1076</v>
      </c>
      <c r="F397" s="9">
        <v>-0.1676</v>
      </c>
      <c r="G397" s="18" t="s">
        <v>71</v>
      </c>
    </row>
    <row r="399" spans="2:16" x14ac:dyDescent="0.2">
      <c r="B399" s="7" t="s">
        <v>98</v>
      </c>
      <c r="C399" s="18" t="s">
        <v>70</v>
      </c>
      <c r="D399" s="12">
        <v>0.5</v>
      </c>
      <c r="E399" s="12">
        <v>-0.3</v>
      </c>
      <c r="F399" s="12">
        <v>0.4</v>
      </c>
      <c r="G399" s="18" t="s">
        <v>71</v>
      </c>
      <c r="I399" s="7" t="s">
        <v>99</v>
      </c>
      <c r="J399" s="12">
        <v>0.1</v>
      </c>
    </row>
    <row r="401" spans="2:2" x14ac:dyDescent="0.2">
      <c r="B401" s="7" t="s">
        <v>100</v>
      </c>
    </row>
    <row r="402" spans="2:2" x14ac:dyDescent="0.2">
      <c r="B402" t="s">
        <v>114</v>
      </c>
    </row>
    <row r="403" spans="2:2" x14ac:dyDescent="0.2">
      <c r="B403" s="12" t="s">
        <v>115</v>
      </c>
    </row>
    <row r="405" spans="2:2" x14ac:dyDescent="0.2">
      <c r="B405" s="7" t="s">
        <v>103</v>
      </c>
    </row>
    <row r="406" spans="2:2" x14ac:dyDescent="0.2">
      <c r="B406" t="s">
        <v>116</v>
      </c>
    </row>
    <row r="407" spans="2:2" x14ac:dyDescent="0.2">
      <c r="B407" t="s">
        <v>117</v>
      </c>
    </row>
    <row r="408" spans="2:2" x14ac:dyDescent="0.2">
      <c r="B408" s="7" t="s">
        <v>118</v>
      </c>
    </row>
    <row r="410" spans="2:2" x14ac:dyDescent="0.2">
      <c r="B410" s="15" t="s">
        <v>107</v>
      </c>
    </row>
    <row r="411" spans="2:2" x14ac:dyDescent="0.2">
      <c r="B411" t="s">
        <v>108</v>
      </c>
    </row>
    <row r="412" spans="2:2" x14ac:dyDescent="0.2">
      <c r="B412" t="s">
        <v>119</v>
      </c>
    </row>
    <row r="413" spans="2:2" x14ac:dyDescent="0.2">
      <c r="B413" s="15" t="s">
        <v>120</v>
      </c>
    </row>
    <row r="417" spans="2:34" x14ac:dyDescent="0.2">
      <c r="B417" s="29" t="s">
        <v>121</v>
      </c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7"/>
    </row>
  </sheetData>
  <mergeCells count="17">
    <mergeCell ref="A1:J1"/>
    <mergeCell ref="B143:L143"/>
    <mergeCell ref="B27:AH27"/>
    <mergeCell ref="B281:L281"/>
    <mergeCell ref="B417:AH417"/>
    <mergeCell ref="B2:AH2"/>
    <mergeCell ref="B4:T4"/>
    <mergeCell ref="B67:L67"/>
    <mergeCell ref="B357:L357"/>
    <mergeCell ref="B181:L181"/>
    <mergeCell ref="B319:L319"/>
    <mergeCell ref="B219:L219"/>
    <mergeCell ref="B395:L395"/>
    <mergeCell ref="B29:L29"/>
    <mergeCell ref="B241:AH241"/>
    <mergeCell ref="B243:L243"/>
    <mergeCell ref="B105:L10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30"/>
  <sheetViews>
    <sheetView tabSelected="1" workbookViewId="0">
      <selection activeCell="U19" sqref="U19"/>
    </sheetView>
  </sheetViews>
  <sheetFormatPr baseColWidth="10" defaultColWidth="8.83203125" defaultRowHeight="15" x14ac:dyDescent="0.2"/>
  <cols>
    <col min="1" max="1" width="6" customWidth="1"/>
    <col min="2" max="2" width="20.33203125" customWidth="1"/>
    <col min="3" max="7" width="6" customWidth="1"/>
    <col min="8" max="8" width="21.6640625" customWidth="1"/>
    <col min="9" max="13" width="6" customWidth="1"/>
    <col min="14" max="14" width="15" customWidth="1"/>
    <col min="15" max="15" width="6" customWidth="1"/>
    <col min="16" max="16" width="12.33203125" customWidth="1"/>
    <col min="17" max="23" width="6" customWidth="1"/>
  </cols>
  <sheetData>
    <row r="1" spans="1:31" x14ac:dyDescent="0.2">
      <c r="A1" s="23" t="s">
        <v>122</v>
      </c>
      <c r="B1" s="24"/>
      <c r="C1" s="24"/>
      <c r="D1" s="24"/>
      <c r="E1" s="24"/>
      <c r="F1" s="24"/>
      <c r="G1" s="24"/>
      <c r="H1" s="24"/>
      <c r="I1" s="24"/>
      <c r="J1" s="24"/>
    </row>
    <row r="2" spans="1:31" x14ac:dyDescent="0.2">
      <c r="B2" s="29" t="s">
        <v>123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7"/>
    </row>
    <row r="5" spans="1:31" x14ac:dyDescent="0.2">
      <c r="B5" s="29" t="s">
        <v>124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7"/>
    </row>
    <row r="7" spans="1:31" x14ac:dyDescent="0.2">
      <c r="B7" s="7" t="s">
        <v>125</v>
      </c>
      <c r="F7" s="3" t="s">
        <v>126</v>
      </c>
      <c r="H7" s="19" t="s">
        <v>127</v>
      </c>
      <c r="L7" s="3" t="s">
        <v>128</v>
      </c>
      <c r="N7" s="20" t="s">
        <v>129</v>
      </c>
    </row>
    <row r="8" spans="1:31" x14ac:dyDescent="0.2">
      <c r="B8" s="12">
        <v>0.5</v>
      </c>
      <c r="C8" s="12">
        <v>-0.3</v>
      </c>
      <c r="D8" s="12">
        <v>0.4</v>
      </c>
      <c r="H8" s="21">
        <v>-7.5600000000000001E-2</v>
      </c>
      <c r="I8" s="21">
        <v>-4.1799999999999997E-2</v>
      </c>
      <c r="J8" s="21">
        <v>-0.1128</v>
      </c>
      <c r="N8" s="22">
        <v>0.50760000000000005</v>
      </c>
      <c r="O8" s="22">
        <v>-0.29580000000000001</v>
      </c>
      <c r="P8" s="22">
        <v>0.4113</v>
      </c>
    </row>
    <row r="10" spans="1:31" x14ac:dyDescent="0.2">
      <c r="B10" s="12" t="s">
        <v>130</v>
      </c>
      <c r="F10" s="3" t="s">
        <v>126</v>
      </c>
      <c r="H10" s="21" t="s">
        <v>131</v>
      </c>
      <c r="L10" s="3" t="s">
        <v>128</v>
      </c>
      <c r="N10" s="22" t="s">
        <v>132</v>
      </c>
    </row>
    <row r="11" spans="1:31" x14ac:dyDescent="0.2">
      <c r="B11" s="12">
        <v>0.1</v>
      </c>
      <c r="H11" s="21">
        <v>5.2200000000000003E-2</v>
      </c>
      <c r="N11" s="22">
        <v>9.4799999999999995E-2</v>
      </c>
    </row>
    <row r="14" spans="1:31" x14ac:dyDescent="0.2">
      <c r="B14" s="30" t="s">
        <v>133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7"/>
    </row>
    <row r="16" spans="1:31" x14ac:dyDescent="0.2">
      <c r="B16" s="4" t="s">
        <v>134</v>
      </c>
      <c r="F16" s="3" t="s">
        <v>126</v>
      </c>
      <c r="H16" s="19" t="s">
        <v>135</v>
      </c>
      <c r="L16" s="3" t="s">
        <v>128</v>
      </c>
      <c r="N16" s="20" t="s">
        <v>136</v>
      </c>
    </row>
    <row r="17" spans="2:31" x14ac:dyDescent="0.2">
      <c r="B17" s="9">
        <v>0.2</v>
      </c>
      <c r="C17" s="9">
        <v>-0.3</v>
      </c>
      <c r="D17" s="9">
        <v>0.1</v>
      </c>
      <c r="H17" s="21">
        <v>2.0000000000000001E-4</v>
      </c>
      <c r="I17" s="21">
        <v>-1.3899999999999999E-2</v>
      </c>
      <c r="J17" s="21">
        <v>6.7999999999999996E-3</v>
      </c>
      <c r="N17" s="22">
        <v>0.2</v>
      </c>
      <c r="O17" s="22">
        <v>-0.29859999999999998</v>
      </c>
      <c r="P17" s="22">
        <v>9.9299999999999999E-2</v>
      </c>
    </row>
    <row r="18" spans="2:31" x14ac:dyDescent="0.2">
      <c r="B18" s="9">
        <v>0.4</v>
      </c>
      <c r="C18" s="9">
        <v>0.1</v>
      </c>
      <c r="D18" s="9">
        <v>-0.2</v>
      </c>
      <c r="H18" s="21">
        <v>-2.5000000000000001E-3</v>
      </c>
      <c r="I18" s="21">
        <v>1.15E-2</v>
      </c>
      <c r="J18" s="21">
        <v>-1.0200000000000001E-2</v>
      </c>
      <c r="N18" s="22">
        <v>0.40029999999999999</v>
      </c>
      <c r="O18" s="22">
        <v>9.8900000000000002E-2</v>
      </c>
      <c r="P18" s="22">
        <v>-0.19900000000000001</v>
      </c>
    </row>
    <row r="19" spans="2:31" x14ac:dyDescent="0.2">
      <c r="B19" s="9">
        <v>-0.1</v>
      </c>
      <c r="C19" s="9">
        <v>0.3</v>
      </c>
      <c r="D19" s="9">
        <v>0.2</v>
      </c>
      <c r="H19" s="21">
        <v>8.3000000000000001E-3</v>
      </c>
      <c r="I19" s="21">
        <v>-1.5299999999999999E-2</v>
      </c>
      <c r="J19" s="21">
        <v>1.2200000000000001E-2</v>
      </c>
      <c r="N19" s="22">
        <v>-0.1008</v>
      </c>
      <c r="O19" s="22">
        <v>0.30149999999999999</v>
      </c>
      <c r="P19" s="22">
        <v>0.1988</v>
      </c>
    </row>
    <row r="22" spans="2:31" x14ac:dyDescent="0.2">
      <c r="B22" s="31" t="s">
        <v>137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7"/>
    </row>
    <row r="24" spans="2:31" x14ac:dyDescent="0.2">
      <c r="B24" s="2" t="s">
        <v>138</v>
      </c>
      <c r="G24" s="3" t="s">
        <v>126</v>
      </c>
      <c r="I24" s="19" t="s">
        <v>139</v>
      </c>
      <c r="N24" s="3" t="s">
        <v>128</v>
      </c>
      <c r="P24" s="20" t="s">
        <v>140</v>
      </c>
    </row>
    <row r="25" spans="2:31" x14ac:dyDescent="0.2">
      <c r="B25" s="8">
        <v>0.3</v>
      </c>
      <c r="C25" s="8">
        <v>-0.2</v>
      </c>
      <c r="D25" s="8">
        <v>0.1</v>
      </c>
      <c r="E25" s="8">
        <v>0.4</v>
      </c>
      <c r="I25" s="21">
        <v>-0.12089999999999999</v>
      </c>
      <c r="J25" s="21">
        <v>-9.5799999999999996E-2</v>
      </c>
      <c r="K25" s="21">
        <v>-8.2100000000000006E-2</v>
      </c>
      <c r="L25" s="21">
        <v>-4.9299999999999997E-2</v>
      </c>
      <c r="P25" s="22">
        <v>0.31209999999999999</v>
      </c>
      <c r="Q25" s="22">
        <v>-0.19040000000000001</v>
      </c>
      <c r="R25" s="22">
        <v>0.1082</v>
      </c>
      <c r="S25" s="22">
        <v>0.40489999999999998</v>
      </c>
    </row>
    <row r="26" spans="2:31" x14ac:dyDescent="0.2">
      <c r="B26" s="8">
        <v>-0.1</v>
      </c>
      <c r="C26" s="8">
        <v>0.4</v>
      </c>
      <c r="D26" s="8">
        <v>-0.3</v>
      </c>
      <c r="E26" s="8">
        <v>0.2</v>
      </c>
      <c r="I26" s="21">
        <v>8.5900000000000004E-2</v>
      </c>
      <c r="J26" s="21">
        <v>6.1699999999999998E-2</v>
      </c>
      <c r="K26" s="21">
        <v>4.4499999999999998E-2</v>
      </c>
      <c r="L26" s="21">
        <v>3.4599999999999999E-2</v>
      </c>
      <c r="P26" s="22">
        <v>-0.1086</v>
      </c>
      <c r="Q26" s="22">
        <v>0.39379999999999998</v>
      </c>
      <c r="R26" s="22">
        <v>-0.30449999999999999</v>
      </c>
      <c r="S26" s="22">
        <v>0.19650000000000001</v>
      </c>
    </row>
    <row r="27" spans="2:31" x14ac:dyDescent="0.2">
      <c r="B27" s="8">
        <v>0.2</v>
      </c>
      <c r="C27" s="8">
        <v>0.1</v>
      </c>
      <c r="D27" s="8">
        <v>0.4</v>
      </c>
      <c r="E27" s="8">
        <v>-0.2</v>
      </c>
      <c r="I27" s="21">
        <v>-0.1024</v>
      </c>
      <c r="J27" s="21">
        <v>-7.9399999999999998E-2</v>
      </c>
      <c r="K27" s="21">
        <v>-4.3799999999999999E-2</v>
      </c>
      <c r="L27" s="21">
        <v>-4.6100000000000002E-2</v>
      </c>
      <c r="P27" s="22">
        <v>0.2102</v>
      </c>
      <c r="Q27" s="22">
        <v>0.1079</v>
      </c>
      <c r="R27" s="22">
        <v>0.40439999999999998</v>
      </c>
      <c r="S27" s="22">
        <v>-0.19539999999999999</v>
      </c>
    </row>
    <row r="29" spans="2:31" x14ac:dyDescent="0.2">
      <c r="B29" s="8" t="s">
        <v>141</v>
      </c>
      <c r="G29" s="3" t="s">
        <v>126</v>
      </c>
      <c r="I29" s="21" t="s">
        <v>142</v>
      </c>
      <c r="N29" s="3" t="s">
        <v>128</v>
      </c>
      <c r="P29" s="22" t="s">
        <v>143</v>
      </c>
    </row>
    <row r="30" spans="2:31" x14ac:dyDescent="0.2">
      <c r="B30" s="8">
        <v>0.1</v>
      </c>
      <c r="C30" s="8">
        <v>-0.1</v>
      </c>
      <c r="D30" s="8">
        <v>0.05</v>
      </c>
      <c r="I30" s="21">
        <v>2.92E-2</v>
      </c>
      <c r="J30" s="21">
        <v>-1.35E-2</v>
      </c>
      <c r="K30" s="21">
        <v>4.2900000000000001E-2</v>
      </c>
      <c r="P30" s="22">
        <v>9.7100000000000006E-2</v>
      </c>
      <c r="Q30" s="22">
        <v>-9.8699999999999996E-2</v>
      </c>
      <c r="R30" s="22">
        <v>4.5699999999999998E-2</v>
      </c>
    </row>
  </sheetData>
  <mergeCells count="5">
    <mergeCell ref="A1:J1"/>
    <mergeCell ref="B2:AE2"/>
    <mergeCell ref="B5:AE5"/>
    <mergeCell ref="B22:AE22"/>
    <mergeCell ref="B14:AE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1"/>
  <sheetViews>
    <sheetView workbookViewId="0"/>
  </sheetViews>
  <sheetFormatPr baseColWidth="10" defaultColWidth="8.83203125" defaultRowHeight="15" x14ac:dyDescent="0.2"/>
  <cols>
    <col min="1" max="14" width="12" customWidth="1"/>
  </cols>
  <sheetData>
    <row r="1" spans="1:5" x14ac:dyDescent="0.2">
      <c r="A1" s="23" t="s">
        <v>144</v>
      </c>
      <c r="B1" s="24"/>
      <c r="C1" s="24"/>
      <c r="D1" s="24"/>
      <c r="E1" s="24"/>
    </row>
    <row r="2" spans="1:5" x14ac:dyDescent="0.2">
      <c r="B2" s="1"/>
    </row>
    <row r="4" spans="1:5" x14ac:dyDescent="0.2">
      <c r="B4" s="13" t="s">
        <v>145</v>
      </c>
    </row>
    <row r="5" spans="1:5" x14ac:dyDescent="0.2">
      <c r="B5" s="3" t="s">
        <v>146</v>
      </c>
    </row>
    <row r="6" spans="1:5" x14ac:dyDescent="0.2">
      <c r="B6" s="3" t="s">
        <v>147</v>
      </c>
    </row>
    <row r="7" spans="1:5" x14ac:dyDescent="0.2">
      <c r="B7" s="3" t="s">
        <v>148</v>
      </c>
    </row>
    <row r="8" spans="1:5" x14ac:dyDescent="0.2">
      <c r="B8" s="3" t="s">
        <v>149</v>
      </c>
    </row>
    <row r="9" spans="1:5" x14ac:dyDescent="0.2">
      <c r="B9" s="3" t="s">
        <v>150</v>
      </c>
    </row>
    <row r="10" spans="1:5" x14ac:dyDescent="0.2">
      <c r="B10" s="3" t="s">
        <v>151</v>
      </c>
    </row>
    <row r="11" spans="1:5" x14ac:dyDescent="0.2">
      <c r="B11" s="3" t="s">
        <v>152</v>
      </c>
    </row>
    <row r="13" spans="1:5" x14ac:dyDescent="0.2">
      <c r="B13" s="15" t="s">
        <v>153</v>
      </c>
    </row>
    <row r="14" spans="1:5" x14ac:dyDescent="0.2">
      <c r="B14" s="3" t="s">
        <v>146</v>
      </c>
    </row>
    <row r="15" spans="1:5" x14ac:dyDescent="0.2">
      <c r="B15" s="3" t="s">
        <v>154</v>
      </c>
    </row>
    <row r="16" spans="1:5" x14ac:dyDescent="0.2">
      <c r="B16" s="3" t="s">
        <v>155</v>
      </c>
    </row>
    <row r="17" spans="2:2" x14ac:dyDescent="0.2">
      <c r="B17" s="3" t="s">
        <v>156</v>
      </c>
    </row>
    <row r="18" spans="2:2" x14ac:dyDescent="0.2">
      <c r="B18" s="3" t="s">
        <v>157</v>
      </c>
    </row>
    <row r="19" spans="2:2" x14ac:dyDescent="0.2">
      <c r="B19" s="3" t="s">
        <v>158</v>
      </c>
    </row>
    <row r="21" spans="2:2" x14ac:dyDescent="0.2">
      <c r="B21" s="7" t="s">
        <v>159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Embedding</vt:lpstr>
      <vt:lpstr>Parameters</vt:lpstr>
      <vt:lpstr>Forward</vt:lpstr>
      <vt:lpstr>Backward</vt:lpstr>
      <vt:lpstr>Answer_Key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Jihwan Kim</cp:lastModifiedBy>
  <dcterms:created xsi:type="dcterms:W3CDTF">2026-01-20T05:18:01Z</dcterms:created>
  <dcterms:modified xsi:type="dcterms:W3CDTF">2026-02-11T00:21:20Z</dcterms:modified>
</cp:coreProperties>
</file>