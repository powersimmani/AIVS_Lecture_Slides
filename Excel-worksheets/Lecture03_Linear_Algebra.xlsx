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6"/>
  <workbookPr/>
  <mc:AlternateContent xmlns:mc="http://schemas.openxmlformats.org/markup-compatibility/2006">
    <mc:Choice Requires="x15">
      <x15ac:absPath xmlns:x15ac="http://schemas.microsoft.com/office/spreadsheetml/2010/11/ac" url="/Users/jihwankim/Downloads/Excel-worksheets 2/"/>
    </mc:Choice>
  </mc:AlternateContent>
  <xr:revisionPtr revIDLastSave="0" documentId="8_{7EF394CF-83A0-924F-A0C5-C663882D4A32}" xr6:coauthVersionLast="47" xr6:coauthVersionMax="47" xr10:uidLastSave="{00000000-0000-0000-0000-000000000000}"/>
  <bookViews>
    <workbookView xWindow="4300" yWindow="680" windowWidth="29900" windowHeight="19580" activeTab="2" xr2:uid="{00000000-000D-0000-FFFF-FFFF00000000}"/>
  </bookViews>
  <sheets>
    <sheet name="Instructions" sheetId="1" r:id="rId1"/>
    <sheet name="Vector_Operations" sheetId="2" r:id="rId2"/>
    <sheet name="Matrix_Operations" sheetId="3" r:id="rId3"/>
    <sheet name="Eigenvalue_Eigenvector" sheetId="4" r:id="rId4"/>
    <sheet name="Answer_Key" sheetId="5" r:id="rId5"/>
  </sheets>
  <calcPr calcId="191029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2" i="4" l="1"/>
  <c r="B4" i="4"/>
  <c r="B4" i="3"/>
  <c r="B4" i="2"/>
</calcChain>
</file>

<file path=xl/sharedStrings.xml><?xml version="1.0" encoding="utf-8"?>
<sst xmlns="http://schemas.openxmlformats.org/spreadsheetml/2006/main" count="201" uniqueCount="177">
  <si>
    <t>[Description] This worksheet guides you through fundamental linear algebra concepts essential for deep learning.</t>
  </si>
  <si>
    <t>Basic Linear Algebra Calculation Practice Worksheet</t>
  </si>
  <si>
    <t>Lecture 03 Part 1: Mathematical Foundations</t>
  </si>
  <si>
    <t>[Learning Objectives]</t>
  </si>
  <si>
    <t>1. Understand basic vector operations (addition, scalar multiplication, dot product)</t>
  </si>
  <si>
    <t>2. Calculate vector norm (length) and angle</t>
  </si>
  <si>
    <t>3. Understand matrix multiplication principle (row × column)</t>
  </si>
  <si>
    <t>4. Calculate determinant and inverse matrix</t>
  </si>
  <si>
    <t>5. Meaning and calculation of eigenvalues and eigenvectors</t>
  </si>
  <si>
    <t>[Key Formulas - Vector]</t>
  </si>
  <si>
    <t>• Dot Product:  u · v = Σ uᵢvᵢ = u₁v₁ + u₂v₂ + ... + uₙvₙ</t>
  </si>
  <si>
    <t>• Norm:  ||u|| = √(u · u) = √(u₁² + u₂² + ... + uₙ²)</t>
  </si>
  <si>
    <t>• Angle between vectors: cos(θ) = (u · v) / (||u|| × ||v||)</t>
  </si>
  <si>
    <t>• Projection:  proj_u(v) = [(v · u) / (u · u)] × u</t>
  </si>
  <si>
    <t>[Key Formulas - Matrix]</t>
  </si>
  <si>
    <t>• Matrix multiplication: (AB)ᵢⱼ = Σₖ Aᵢₖ × Bₖⱼ (dot product of A's row i and B's column j)</t>
  </si>
  <si>
    <t>• Transpose matrix: (Aᵀ)ᵢⱼ = Aⱼᵢ (swap rows and columns)</t>
  </si>
  <si>
    <t>• 2×2 determinant: det[a b; c d] = ad - bc</t>
  </si>
  <si>
    <t>• 3×3 determinant: Sarrus' rule or cofactor expansion</t>
  </si>
  <si>
    <t>• 2×2 inverse: A⁻¹ = (1/det(A)) × [d -b; -c a]</t>
  </si>
  <si>
    <t>[Key Formulas - Eigenvalue]</t>
  </si>
  <si>
    <t>• Eigenvalue definition: Av = λv (A scales v by λ)</t>
  </si>
  <si>
    <t>• Characteristic equation: det(A - λI) = 0</t>
  </si>
  <si>
    <t>• 2×2 characteristic equation: λ² - (a+d)λ + (ad-bc) = 0</t>
  </si>
  <si>
    <t>• trace(A) = λ₁ + λ₂,  det(A) = λ₁ × λ₂</t>
  </si>
  <si>
    <t>[Color Legend]</t>
  </si>
  <si>
    <t xml:space="preserve">  ■ Vector/Matrix A</t>
  </si>
  <si>
    <t xml:space="preserve">  ■ Vector/Matrix B</t>
  </si>
  <si>
    <t xml:space="preserve">  ■ Intermediate calculation</t>
  </si>
  <si>
    <t xml:space="preserve">  ■ Result</t>
  </si>
  <si>
    <t xml:space="preserve">  ■ Student input cell</t>
  </si>
  <si>
    <t xml:space="preserve">  ■ Answer</t>
  </si>
  <si>
    <t xml:space="preserve">  ■ Wrong</t>
  </si>
  <si>
    <t>[How to Use]</t>
  </si>
  <si>
    <t>1. Enter calculation results in yellow cells in each sheet</t>
  </si>
  <si>
    <t>2. Check ✓(correct) or ✗(wrong) in verification cells</t>
  </si>
  <si>
    <t>3. Tolerance: 0.001 (up to 3 decimal places)</t>
  </si>
  <si>
    <t>4. Remember matrix multiplication follows 'row × column' order!</t>
  </si>
  <si>
    <t>[Description] Vectors are the basic units for representing data and weights in neural networks. Master addition, dot product, and norms.</t>
  </si>
  <si>
    <t>Vector Operations</t>
  </si>
  <si>
    <t>Progress:</t>
  </si>
  <si>
    <t>Vector u =</t>
  </si>
  <si>
    <t>[</t>
  </si>
  <si>
    <t>]</t>
  </si>
  <si>
    <t>Vector v =</t>
  </si>
  <si>
    <t>▶ 1. Vector addition (u + v)</t>
  </si>
  <si>
    <t>Formula:</t>
  </si>
  <si>
    <t>[u₁+v₁, u₂+v₂, u₃+v₃]</t>
  </si>
  <si>
    <t>u + v =</t>
  </si>
  <si>
    <t>▶ 2. Vector subtraction (u - v)</t>
  </si>
  <si>
    <t>[u₁-v₁, u₂-v₂, u₃-v₃]</t>
  </si>
  <si>
    <t>u - v =</t>
  </si>
  <si>
    <t>▶ 3. Scalar multiplication (2 × u)</t>
  </si>
  <si>
    <t>[c×u₁, c×u₂, c×u₃]</t>
  </si>
  <si>
    <t>2 × u =</t>
  </si>
  <si>
    <t>▶ 4. Dot product (u · v)</t>
  </si>
  <si>
    <t>u₁v₁ + u₂v₂ + u₃v₃</t>
  </si>
  <si>
    <t>Step 1:</t>
  </si>
  <si>
    <t>u₁×v₁ = 3×1 =</t>
  </si>
  <si>
    <t>Step 2:</t>
  </si>
  <si>
    <t>u₂×v₂ = 4×2 =</t>
  </si>
  <si>
    <t>Step 3:</t>
  </si>
  <si>
    <t>u₃×v₃ = 0×2 =</t>
  </si>
  <si>
    <t>Total:</t>
  </si>
  <si>
    <t>u · v =</t>
  </si>
  <si>
    <t>▶ 5. Norm (||u||, ||v||)</t>
  </si>
  <si>
    <t>||u|| = √(u₁² + u₂² + u₃²)</t>
  </si>
  <si>
    <t>||u|| calculation:</t>
  </si>
  <si>
    <t>√(3² + 4² + 0²) = √(9 + 16 + 0) =</t>
  </si>
  <si>
    <t>||v|| calculation:</t>
  </si>
  <si>
    <t>√(1² + 2² + 2²) = √(1 + 4 + 4) =</t>
  </si>
  <si>
    <t>▶ 6. Angle between vectors</t>
  </si>
  <si>
    <t>cos(θ) = (u · v) / (||u|| × ||v||)</t>
  </si>
  <si>
    <t>cos(θ) =</t>
  </si>
  <si>
    <t>(u · v) / (||u|| × ||v||) =</t>
  </si>
  <si>
    <t>θ (degrees) =</t>
  </si>
  <si>
    <t>arccos(cos(θ)) × (180/π) =</t>
  </si>
  <si>
    <t>▶ 7. Projection (project v onto u)</t>
  </si>
  <si>
    <t>proj_u(v) = [(v · u) / (u · u)] × u</t>
  </si>
  <si>
    <t>Scalar coefficient:</t>
  </si>
  <si>
    <t>(v · u) / (u · u) =</t>
  </si>
  <si>
    <t>proj_u(v) =</t>
  </si>
  <si>
    <t>[Description] Matrix multiplication is the core operation in neural network forward/backward passes. Understanding this is crucial for deep learning.</t>
  </si>
  <si>
    <t>Matrix Operations</t>
  </si>
  <si>
    <t>Matrix A =</t>
  </si>
  <si>
    <t>Matrix B =</t>
  </si>
  <si>
    <t>▶ 1. Matrix addition (A + B)</t>
  </si>
  <si>
    <t>Formula: Add elements at same positions</t>
  </si>
  <si>
    <t>A + B =</t>
  </si>
  <si>
    <t>▶ 2. Matrix multiplication (A × B) - Step by step</t>
  </si>
  <si>
    <t>Formula: (AB)ᵢⱼ = Σₖ Aᵢₖ × Bₖⱼ (dot product of A's row i and B's column j)</t>
  </si>
  <si>
    <t>(AB)₁₁ calculation:</t>
  </si>
  <si>
    <t>Row 1 of A:</t>
  </si>
  <si>
    <t>[1, 2, 0]</t>
  </si>
  <si>
    <t>Column 1 of B:</t>
  </si>
  <si>
    <t>[2, 1, 0]</t>
  </si>
  <si>
    <t>Dot product:</t>
  </si>
  <si>
    <t>1×2 + 2×1 + 0×0 =</t>
  </si>
  <si>
    <t>A × B =</t>
  </si>
  <si>
    <t>▶ 3. Transpose matrix (Aᵀ)</t>
  </si>
  <si>
    <t>Formula: (Aᵀ)ᵢⱼ = Aⱼᵢ (swap rows and columns)</t>
  </si>
  <si>
    <t>Aᵀ =</t>
  </si>
  <si>
    <t>▶ 4. Determinant det(A) - 3×3</t>
  </si>
  <si>
    <t>Use Sarrus' rule or cofactor expansion</t>
  </si>
  <si>
    <t>Sum of main diagonal products:</t>
  </si>
  <si>
    <t>1×1×2 + 2×1×0 + 0×3×1</t>
  </si>
  <si>
    <t>Sum of anti-diagonal products:</t>
  </si>
  <si>
    <t>0×1×0 + 1×1×1 + 2×3×2</t>
  </si>
  <si>
    <t>det(A) =</t>
  </si>
  <si>
    <t>▶ 5. 2×2 Inverse matrix</t>
  </si>
  <si>
    <t>Matrix M =</t>
  </si>
  <si>
    <t>M⁻¹ = (1/det) × [d, -b; -c, a]</t>
  </si>
  <si>
    <t>det(M) =</t>
  </si>
  <si>
    <t>4×3 - 2×1 =</t>
  </si>
  <si>
    <t>M⁻¹ =</t>
  </si>
  <si>
    <t>[Description] Eigendecomposition forms the mathematical foundation for PCA and dimensionality reduction techniques.</t>
  </si>
  <si>
    <t>Eigenvalue &amp; Eigenvector</t>
  </si>
  <si>
    <t>Eigenvalue definition:</t>
  </si>
  <si>
    <t>Av = λv (Matrix A scales vector v by λ)</t>
  </si>
  <si>
    <t>Characteristic equation:</t>
  </si>
  <si>
    <t>det(A - λI) = 0</t>
  </si>
  <si>
    <t>▶ Step 1: Characteristic equation</t>
  </si>
  <si>
    <t>M - λI =</t>
  </si>
  <si>
    <t>[4-λ, 2; 1, 3-λ]</t>
  </si>
  <si>
    <t>det(M - λI) = 0:</t>
  </si>
  <si>
    <t>Expanding:</t>
  </si>
  <si>
    <t>(4-λ)(3-λ) - (2)(1) = 0</t>
  </si>
  <si>
    <t>Summarizing:</t>
  </si>
  <si>
    <t>λ² - (trace)λ + det = 0</t>
  </si>
  <si>
    <t>trace(M) = 4 + 3 =</t>
  </si>
  <si>
    <t>det(M) = 4×3 - 2×1 =</t>
  </si>
  <si>
    <t>▶ Step 2: Calculate eigenvalues</t>
  </si>
  <si>
    <t>λ² - 7λ + 10 = 0</t>
  </si>
  <si>
    <t>Quadratic formula:</t>
  </si>
  <si>
    <t>λ = [trace ± √(trace² - 4×det)] / 2</t>
  </si>
  <si>
    <t>Discriminant = trace² - 4×det =</t>
  </si>
  <si>
    <t>7² - 4×10 =</t>
  </si>
  <si>
    <t>Eigenvalue λ₁ =</t>
  </si>
  <si>
    <t>Eigenvalue λ₂ =</t>
  </si>
  <si>
    <t>▶ Step 3: Verification</t>
  </si>
  <si>
    <t>Is trace(M) = λ₁ + λ₂?</t>
  </si>
  <si>
    <t>Is det(M) = λ₁ × λ₂?</t>
  </si>
  <si>
    <t>▶ Step 4: Eigenvector (for λ₁)</t>
  </si>
  <si>
    <t>Solve (M - λ₁I)v = 0</t>
  </si>
  <si>
    <t>M - λ₁I =</t>
  </si>
  <si>
    <t>[4-5, 2; 1, 3-5]</t>
  </si>
  <si>
    <t>Hint:</t>
  </si>
  <si>
    <t>From first row: (M₁₁-λ₁)v₁ + M₁₂v₂ = 0</t>
  </si>
  <si>
    <t>Setting v₂ = 1, v₁ = -M₁₂/(M₁₁-λ₁)</t>
  </si>
  <si>
    <t>Eigenvector v₁ =</t>
  </si>
  <si>
    <t>[Description] Reference solutions for self-checking your calculations.</t>
  </si>
  <si>
    <t>Answer Key - Linear Algebra</t>
  </si>
  <si>
    <t>u + v</t>
  </si>
  <si>
    <t>u - v</t>
  </si>
  <si>
    <t>2 × u</t>
  </si>
  <si>
    <t>u₁×v₁</t>
  </si>
  <si>
    <t>u₂×v₂</t>
  </si>
  <si>
    <t>u₃×v₃</t>
  </si>
  <si>
    <t>u · v</t>
  </si>
  <si>
    <t>||u||</t>
  </si>
  <si>
    <t>||v||</t>
  </si>
  <si>
    <t>cos(θ)</t>
  </si>
  <si>
    <t>θ (degrees)</t>
  </si>
  <si>
    <t>Scalar coefficient</t>
  </si>
  <si>
    <t>proj_u(v)</t>
  </si>
  <si>
    <t>A + B</t>
  </si>
  <si>
    <t>(AB)₁₁</t>
  </si>
  <si>
    <t>A × B</t>
  </si>
  <si>
    <t>Aᵀ</t>
  </si>
  <si>
    <t>det(A)</t>
  </si>
  <si>
    <t>det(M)</t>
  </si>
  <si>
    <t>M⁻¹</t>
  </si>
  <si>
    <t>trace(M)</t>
  </si>
  <si>
    <t>Discriminant</t>
  </si>
  <si>
    <t>λ₁</t>
  </si>
  <si>
    <t>λ₂</t>
  </si>
  <si>
    <t>Eigenvector v₁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</si>
</sst>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>
    <font>
      <sz val="11"/>
      <color theme="1"/>
      <name val="Calibri"/>
      <family val="2"/>
      <scheme val="minor"/>
    </font>
    <font>
      <b/>
      <sz val="16"/>
      <name val="맑은 고딕"/>
      <family val="2"/>
      <charset val="129"/>
    </font>
    <font>
      <i/>
      <sz val="11"/>
      <name val="Calibri"/>
      <family val="2"/>
    </font>
    <font>
      <sz val="11"/>
      <name val="맑은 고딕"/>
      <family val="2"/>
      <charset val="129"/>
    </font>
    <font>
      <b/>
      <sz val="13"/>
      <name val="맑은 고딕"/>
      <family val="2"/>
      <charset val="129"/>
    </font>
    <font>
      <sz val="11"/>
      <name val="Cambria Math"/>
      <family val="1"/>
    </font>
    <font>
      <b/>
      <sz val="11"/>
      <name val="Calibri"/>
      <family val="2"/>
    </font>
    <font>
      <sz val="11"/>
      <name val="Consolas"/>
      <family val="2"/>
    </font>
    <font>
      <b/>
      <sz val="12"/>
      <color rgb="FF4472C4"/>
      <name val="맑은 고딕"/>
      <family val="2"/>
      <charset val="129"/>
    </font>
    <font>
      <b/>
      <sz val="12"/>
      <name val="Calibri"/>
      <family val="2"/>
    </font>
    <font>
      <i/>
      <sz val="10"/>
      <color rgb="FF505050"/>
      <name val="Calibri"/>
      <family val="2"/>
    </font>
  </fonts>
  <fills count="13">
    <fill>
      <patternFill patternType="none"/>
    </fill>
    <fill>
      <patternFill patternType="gray125"/>
    </fill>
    <fill>
      <patternFill patternType="solid">
        <fgColor rgb="FFDAEEF3"/>
        <bgColor rgb="FFDAEEF3"/>
      </patternFill>
    </fill>
    <fill>
      <patternFill patternType="solid">
        <fgColor rgb="FFFCE4D6"/>
        <bgColor rgb="FFFCE4D6"/>
      </patternFill>
    </fill>
    <fill>
      <patternFill patternType="solid">
        <fgColor rgb="FFF8CBAD"/>
        <bgColor rgb="FFF8CBAD"/>
      </patternFill>
    </fill>
    <fill>
      <patternFill patternType="solid">
        <fgColor rgb="FFE4DFEC"/>
        <bgColor rgb="FFE4DFEC"/>
      </patternFill>
    </fill>
    <fill>
      <patternFill patternType="solid">
        <fgColor rgb="FFFFFF00"/>
        <bgColor rgb="FFFFFF00"/>
      </patternFill>
    </fill>
    <fill>
      <patternFill patternType="solid">
        <fgColor rgb="FF90EE90"/>
        <bgColor rgb="FF90EE90"/>
      </patternFill>
    </fill>
    <fill>
      <patternFill patternType="solid">
        <fgColor rgb="FFFFB6C1"/>
        <bgColor rgb="FFFFB6C1"/>
      </patternFill>
    </fill>
    <fill>
      <patternFill patternType="solid">
        <fgColor rgb="FFF2F2F2"/>
        <bgColor rgb="FFF2F2F2"/>
      </patternFill>
    </fill>
    <fill>
      <patternFill patternType="solid">
        <fgColor rgb="FFE2EFDA"/>
        <bgColor rgb="FFE2EFDA"/>
      </patternFill>
    </fill>
    <fill>
      <patternFill patternType="solid">
        <fgColor rgb="FFFFF2CC"/>
        <bgColor rgb="FFFFF2CC"/>
      </patternFill>
    </fill>
    <fill>
      <patternFill patternType="solid">
        <fgColor rgb="FFF0F8FF"/>
        <bgColor rgb="FFF0F8FF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</borders>
  <cellStyleXfs count="1">
    <xf numFmtId="0" fontId="0" fillId="0" borderId="0"/>
  </cellStyleXfs>
  <cellXfs count="30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0" fillId="2" borderId="1" xfId="0" applyFill="1" applyBorder="1"/>
    <xf numFmtId="0" fontId="0" fillId="3" borderId="1" xfId="0" applyFill="1" applyBorder="1"/>
    <xf numFmtId="0" fontId="0" fillId="4" borderId="1" xfId="0" applyFill="1" applyBorder="1"/>
    <xf numFmtId="0" fontId="0" fillId="5" borderId="1" xfId="0" applyFill="1" applyBorder="1"/>
    <xf numFmtId="0" fontId="0" fillId="6" borderId="1" xfId="0" applyFill="1" applyBorder="1"/>
    <xf numFmtId="0" fontId="0" fillId="7" borderId="1" xfId="0" applyFill="1" applyBorder="1"/>
    <xf numFmtId="0" fontId="0" fillId="8" borderId="1" xfId="0" applyFill="1" applyBorder="1"/>
    <xf numFmtId="0" fontId="6" fillId="0" borderId="0" xfId="0" applyFont="1"/>
    <xf numFmtId="0" fontId="7" fillId="0" borderId="0" xfId="0" applyFont="1"/>
    <xf numFmtId="0" fontId="0" fillId="2" borderId="1" xfId="0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8" fillId="0" borderId="0" xfId="0" applyFont="1"/>
    <xf numFmtId="0" fontId="0" fillId="9" borderId="0" xfId="0" applyFill="1"/>
    <xf numFmtId="0" fontId="0" fillId="6" borderId="2" xfId="0" applyFill="1" applyBorder="1" applyAlignment="1">
      <alignment horizontal="center" vertical="center"/>
    </xf>
    <xf numFmtId="0" fontId="0" fillId="6" borderId="2" xfId="0" applyFill="1" applyBorder="1"/>
    <xf numFmtId="0" fontId="0" fillId="10" borderId="1" xfId="0" applyFill="1" applyBorder="1" applyAlignment="1">
      <alignment horizontal="center" vertical="center"/>
    </xf>
    <xf numFmtId="0" fontId="0" fillId="11" borderId="1" xfId="0" applyFill="1" applyBorder="1" applyAlignment="1">
      <alignment horizontal="center" vertical="center"/>
    </xf>
    <xf numFmtId="0" fontId="0" fillId="10" borderId="0" xfId="0" applyFill="1"/>
    <xf numFmtId="0" fontId="0" fillId="11" borderId="0" xfId="0" applyFill="1"/>
    <xf numFmtId="0" fontId="9" fillId="10" borderId="1" xfId="0" applyFont="1" applyFill="1" applyBorder="1" applyAlignment="1">
      <alignment horizontal="center" vertical="center"/>
    </xf>
    <xf numFmtId="0" fontId="0" fillId="4" borderId="0" xfId="0" applyFill="1"/>
    <xf numFmtId="0" fontId="10" fillId="12" borderId="0" xfId="0" applyFont="1" applyFill="1" applyAlignment="1">
      <alignment wrapText="1"/>
    </xf>
    <xf numFmtId="0" fontId="0" fillId="0" borderId="0" xfId="0"/>
    <xf numFmtId="0" fontId="0" fillId="0" borderId="0" xfId="0" applyFill="1" applyBorder="1"/>
  </cellXfs>
  <cellStyles count="1">
    <cellStyle name="Normal" xfId="0" builtinId="0"/>
  </cellStyles>
  <dxfs count="16">
    <dxf>
      <fill>
        <patternFill patternType="solid">
          <fgColor rgb="FFFFB6C1"/>
          <bgColor rgb="FFFFB6C1"/>
        </patternFill>
      </fill>
    </dxf>
    <dxf>
      <fill>
        <patternFill patternType="solid">
          <fgColor rgb="FF90EE90"/>
          <bgColor rgb="FF90EE90"/>
        </patternFill>
      </fill>
    </dxf>
    <dxf>
      <fill>
        <patternFill patternType="solid">
          <fgColor rgb="FFFFB6C1"/>
          <bgColor rgb="FFFFB6C1"/>
        </patternFill>
      </fill>
    </dxf>
    <dxf>
      <fill>
        <patternFill patternType="solid">
          <fgColor rgb="FF90EE90"/>
          <bgColor rgb="FF90EE90"/>
        </patternFill>
      </fill>
    </dxf>
    <dxf>
      <fill>
        <patternFill patternType="solid">
          <fgColor rgb="FFFFB6C1"/>
          <bgColor rgb="FFFFB6C1"/>
        </patternFill>
      </fill>
    </dxf>
    <dxf>
      <fill>
        <patternFill patternType="solid">
          <fgColor rgb="FF90EE90"/>
          <bgColor rgb="FF90EE90"/>
        </patternFill>
      </fill>
    </dxf>
    <dxf>
      <fill>
        <patternFill patternType="solid">
          <fgColor rgb="FFFFB6C1"/>
          <bgColor rgb="FFFFB6C1"/>
        </patternFill>
      </fill>
    </dxf>
    <dxf>
      <fill>
        <patternFill patternType="solid">
          <fgColor rgb="FF90EE90"/>
          <bgColor rgb="FF90EE90"/>
        </patternFill>
      </fill>
    </dxf>
    <dxf>
      <fill>
        <patternFill patternType="solid">
          <fgColor rgb="FFFFB6C1"/>
          <bgColor rgb="FFFFB6C1"/>
        </patternFill>
      </fill>
    </dxf>
    <dxf>
      <fill>
        <patternFill patternType="solid">
          <fgColor rgb="FF90EE90"/>
          <bgColor rgb="FF90EE90"/>
        </patternFill>
      </fill>
    </dxf>
    <dxf>
      <fill>
        <patternFill patternType="solid">
          <fgColor rgb="FFFFB6C1"/>
          <bgColor rgb="FFFFB6C1"/>
        </patternFill>
      </fill>
    </dxf>
    <dxf>
      <fill>
        <patternFill patternType="solid">
          <fgColor rgb="FF90EE90"/>
          <bgColor rgb="FF90EE90"/>
        </patternFill>
      </fill>
    </dxf>
    <dxf>
      <fill>
        <patternFill patternType="solid">
          <fgColor rgb="FFFFB6C1"/>
          <bgColor rgb="FFFFB6C1"/>
        </patternFill>
      </fill>
    </dxf>
    <dxf>
      <fill>
        <patternFill patternType="solid">
          <fgColor rgb="FF90EE90"/>
          <bgColor rgb="FF90EE90"/>
        </patternFill>
      </fill>
    </dxf>
    <dxf>
      <fill>
        <patternFill patternType="solid">
          <fgColor rgb="FFFFB6C1"/>
          <bgColor rgb="FFFFB6C1"/>
        </patternFill>
      </fill>
    </dxf>
    <dxf>
      <fill>
        <patternFill patternType="solid">
          <fgColor rgb="FF90EE90"/>
          <bgColor rgb="FF90EE9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46"/>
  <sheetViews>
    <sheetView topLeftCell="A18" workbookViewId="0">
      <selection activeCell="A10" sqref="A10"/>
    </sheetView>
  </sheetViews>
  <sheetFormatPr baseColWidth="10" defaultColWidth="8.83203125" defaultRowHeight="15"/>
  <cols>
    <col min="1" max="1" width="80" customWidth="1"/>
    <col min="2" max="2" width="5" customWidth="1"/>
  </cols>
  <sheetData>
    <row r="1" spans="1:5">
      <c r="A1" s="27" t="s">
        <v>0</v>
      </c>
      <c r="B1" s="28"/>
      <c r="C1" s="28"/>
      <c r="D1" s="28"/>
      <c r="E1" s="28"/>
    </row>
    <row r="2" spans="1:5" ht="23">
      <c r="A2" s="1" t="s">
        <v>1</v>
      </c>
    </row>
    <row r="4" spans="1:5">
      <c r="A4" s="2" t="s">
        <v>2</v>
      </c>
    </row>
    <row r="5" spans="1:5" ht="17">
      <c r="A5" s="3"/>
    </row>
    <row r="7" spans="1:5" ht="19">
      <c r="A7" s="4" t="s">
        <v>3</v>
      </c>
    </row>
    <row r="8" spans="1:5" ht="17">
      <c r="A8" s="3" t="s">
        <v>4</v>
      </c>
    </row>
    <row r="9" spans="1:5" ht="17">
      <c r="A9" s="3" t="s">
        <v>5</v>
      </c>
    </row>
    <row r="10" spans="1:5" ht="17">
      <c r="A10" s="3" t="s">
        <v>6</v>
      </c>
    </row>
    <row r="11" spans="1:5" ht="17">
      <c r="A11" s="3" t="s">
        <v>7</v>
      </c>
    </row>
    <row r="12" spans="1:5" ht="17">
      <c r="A12" s="3" t="s">
        <v>8</v>
      </c>
    </row>
    <row r="14" spans="1:5" ht="19">
      <c r="A14" s="4" t="s">
        <v>9</v>
      </c>
    </row>
    <row r="15" spans="1:5">
      <c r="A15" s="5" t="s">
        <v>10</v>
      </c>
    </row>
    <row r="16" spans="1:5">
      <c r="A16" s="5" t="s">
        <v>11</v>
      </c>
    </row>
    <row r="17" spans="1:1">
      <c r="A17" s="5" t="s">
        <v>12</v>
      </c>
    </row>
    <row r="18" spans="1:1">
      <c r="A18" s="5" t="s">
        <v>13</v>
      </c>
    </row>
    <row r="20" spans="1:1" ht="19">
      <c r="A20" s="4" t="s">
        <v>14</v>
      </c>
    </row>
    <row r="21" spans="1:1">
      <c r="A21" s="5" t="s">
        <v>15</v>
      </c>
    </row>
    <row r="22" spans="1:1">
      <c r="A22" s="5" t="s">
        <v>16</v>
      </c>
    </row>
    <row r="23" spans="1:1">
      <c r="A23" s="5" t="s">
        <v>17</v>
      </c>
    </row>
    <row r="24" spans="1:1">
      <c r="A24" s="5" t="s">
        <v>18</v>
      </c>
    </row>
    <row r="25" spans="1:1">
      <c r="A25" s="5" t="s">
        <v>19</v>
      </c>
    </row>
    <row r="27" spans="1:1" ht="19">
      <c r="A27" s="4" t="s">
        <v>20</v>
      </c>
    </row>
    <row r="28" spans="1:1">
      <c r="A28" s="5" t="s">
        <v>21</v>
      </c>
    </row>
    <row r="29" spans="1:1">
      <c r="A29" s="5" t="s">
        <v>22</v>
      </c>
    </row>
    <row r="30" spans="1:1">
      <c r="A30" s="5" t="s">
        <v>23</v>
      </c>
    </row>
    <row r="31" spans="1:1">
      <c r="A31" s="5" t="s">
        <v>24</v>
      </c>
    </row>
    <row r="33" spans="1:2" ht="19">
      <c r="A33" s="4" t="s">
        <v>25</v>
      </c>
    </row>
    <row r="34" spans="1:2" ht="17">
      <c r="A34" s="3" t="s">
        <v>26</v>
      </c>
      <c r="B34" s="6"/>
    </row>
    <row r="35" spans="1:2" ht="17">
      <c r="A35" s="3" t="s">
        <v>27</v>
      </c>
      <c r="B35" s="7"/>
    </row>
    <row r="36" spans="1:2" ht="17">
      <c r="A36" s="3" t="s">
        <v>28</v>
      </c>
      <c r="B36" s="8"/>
    </row>
    <row r="37" spans="1:2" ht="17">
      <c r="A37" s="3" t="s">
        <v>29</v>
      </c>
      <c r="B37" s="9"/>
    </row>
    <row r="38" spans="1:2" ht="17">
      <c r="A38" s="3" t="s">
        <v>30</v>
      </c>
      <c r="B38" s="10"/>
    </row>
    <row r="39" spans="1:2" ht="17">
      <c r="A39" s="3" t="s">
        <v>31</v>
      </c>
      <c r="B39" s="11"/>
    </row>
    <row r="40" spans="1:2" ht="17">
      <c r="A40" s="3" t="s">
        <v>32</v>
      </c>
      <c r="B40" s="12"/>
    </row>
    <row r="42" spans="1:2" ht="19">
      <c r="A42" s="4" t="s">
        <v>33</v>
      </c>
    </row>
    <row r="43" spans="1:2" ht="17">
      <c r="A43" s="3" t="s">
        <v>34</v>
      </c>
    </row>
    <row r="44" spans="1:2" ht="17">
      <c r="A44" s="3" t="s">
        <v>35</v>
      </c>
    </row>
    <row r="45" spans="1:2" ht="17">
      <c r="A45" s="3" t="s">
        <v>36</v>
      </c>
    </row>
    <row r="46" spans="1:2" ht="17">
      <c r="A46" s="3" t="s">
        <v>37</v>
      </c>
    </row>
  </sheetData>
  <mergeCells count="1">
    <mergeCell ref="A1:E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43"/>
  <sheetViews>
    <sheetView workbookViewId="0">
      <selection activeCell="J14" sqref="J14"/>
    </sheetView>
  </sheetViews>
  <sheetFormatPr baseColWidth="10" defaultColWidth="8.83203125" defaultRowHeight="15"/>
  <cols>
    <col min="1" max="1" width="15" customWidth="1"/>
    <col min="2" max="2" width="25" customWidth="1"/>
    <col min="3" max="14" width="10" customWidth="1"/>
  </cols>
  <sheetData>
    <row r="1" spans="1:8">
      <c r="A1" s="27" t="s">
        <v>38</v>
      </c>
      <c r="B1" s="28"/>
      <c r="C1" s="28"/>
      <c r="D1" s="28"/>
      <c r="E1" s="28"/>
      <c r="F1" s="28"/>
      <c r="G1" s="28"/>
      <c r="H1" s="28"/>
    </row>
    <row r="2" spans="1:8" ht="23">
      <c r="A2" s="1" t="s">
        <v>39</v>
      </c>
    </row>
    <row r="4" spans="1:8">
      <c r="A4" s="13" t="s">
        <v>40</v>
      </c>
      <c r="B4" t="str">
        <f>COUNTIF(G:G,"✓")/15*100&amp;"%"</f>
        <v>0%</v>
      </c>
    </row>
    <row r="6" spans="1:8" ht="19">
      <c r="A6" s="4"/>
    </row>
    <row r="7" spans="1:8">
      <c r="A7" s="13" t="s">
        <v>41</v>
      </c>
      <c r="B7" s="14" t="s">
        <v>42</v>
      </c>
      <c r="C7" s="15">
        <v>3</v>
      </c>
      <c r="D7" s="15">
        <v>4</v>
      </c>
      <c r="E7" s="15">
        <v>0</v>
      </c>
      <c r="F7" s="14" t="s">
        <v>43</v>
      </c>
    </row>
    <row r="8" spans="1:8">
      <c r="A8" s="13" t="s">
        <v>44</v>
      </c>
      <c r="B8" s="14" t="s">
        <v>42</v>
      </c>
      <c r="C8" s="16">
        <v>1</v>
      </c>
      <c r="D8" s="16">
        <v>2</v>
      </c>
      <c r="E8" s="16">
        <v>2</v>
      </c>
      <c r="F8" s="14" t="s">
        <v>43</v>
      </c>
    </row>
    <row r="10" spans="1:8" ht="18">
      <c r="A10" s="17" t="s">
        <v>45</v>
      </c>
    </row>
    <row r="11" spans="1:8">
      <c r="A11" s="18" t="s">
        <v>46</v>
      </c>
      <c r="B11" s="18" t="s">
        <v>47</v>
      </c>
    </row>
    <row r="12" spans="1:8">
      <c r="A12" t="s">
        <v>48</v>
      </c>
      <c r="B12" s="14" t="s">
        <v>42</v>
      </c>
      <c r="C12" s="19"/>
      <c r="D12" s="19"/>
      <c r="E12" s="19"/>
      <c r="F12" s="14" t="s">
        <v>43</v>
      </c>
      <c r="G12" s="29"/>
      <c r="H12" s="29"/>
    </row>
    <row r="13" spans="1:8">
      <c r="G13" s="29"/>
      <c r="H13" s="29"/>
    </row>
    <row r="14" spans="1:8" ht="18">
      <c r="A14" s="17" t="s">
        <v>49</v>
      </c>
      <c r="G14" s="29"/>
      <c r="H14" s="29"/>
    </row>
    <row r="15" spans="1:8">
      <c r="A15" s="18" t="s">
        <v>46</v>
      </c>
      <c r="B15" s="18" t="s">
        <v>50</v>
      </c>
      <c r="G15" s="29"/>
      <c r="H15" s="29"/>
    </row>
    <row r="16" spans="1:8">
      <c r="A16" t="s">
        <v>51</v>
      </c>
      <c r="B16" s="14" t="s">
        <v>42</v>
      </c>
      <c r="C16" s="19"/>
      <c r="D16" s="19"/>
      <c r="E16" s="19"/>
      <c r="F16" s="14" t="s">
        <v>43</v>
      </c>
      <c r="G16" s="29"/>
      <c r="H16" s="29"/>
    </row>
    <row r="17" spans="1:8">
      <c r="G17" s="29"/>
      <c r="H17" s="29"/>
    </row>
    <row r="18" spans="1:8" ht="18">
      <c r="A18" s="17" t="s">
        <v>52</v>
      </c>
      <c r="G18" s="29"/>
      <c r="H18" s="29"/>
    </row>
    <row r="19" spans="1:8">
      <c r="A19" s="18" t="s">
        <v>46</v>
      </c>
      <c r="B19" s="18" t="s">
        <v>53</v>
      </c>
      <c r="G19" s="29"/>
      <c r="H19" s="29"/>
    </row>
    <row r="20" spans="1:8">
      <c r="A20" t="s">
        <v>54</v>
      </c>
      <c r="B20" s="14" t="s">
        <v>42</v>
      </c>
      <c r="C20" s="19"/>
      <c r="D20" s="19"/>
      <c r="E20" s="19"/>
      <c r="F20" s="14" t="s">
        <v>43</v>
      </c>
      <c r="G20" s="29"/>
      <c r="H20" s="29"/>
    </row>
    <row r="21" spans="1:8">
      <c r="G21" s="29"/>
      <c r="H21" s="29"/>
    </row>
    <row r="22" spans="1:8" ht="18">
      <c r="A22" s="17" t="s">
        <v>55</v>
      </c>
      <c r="G22" s="29"/>
      <c r="H22" s="29"/>
    </row>
    <row r="23" spans="1:8">
      <c r="A23" s="18" t="s">
        <v>46</v>
      </c>
      <c r="B23" s="18" t="s">
        <v>56</v>
      </c>
      <c r="G23" s="29"/>
      <c r="H23" s="29"/>
    </row>
    <row r="24" spans="1:8">
      <c r="A24" t="s">
        <v>57</v>
      </c>
      <c r="B24" s="18" t="s">
        <v>58</v>
      </c>
      <c r="E24" s="20"/>
      <c r="G24" s="29"/>
      <c r="H24" s="29"/>
    </row>
    <row r="25" spans="1:8">
      <c r="A25" t="s">
        <v>59</v>
      </c>
      <c r="B25" s="18" t="s">
        <v>60</v>
      </c>
      <c r="E25" s="20"/>
      <c r="G25" s="29"/>
      <c r="H25" s="29"/>
    </row>
    <row r="26" spans="1:8">
      <c r="A26" t="s">
        <v>61</v>
      </c>
      <c r="B26" s="18" t="s">
        <v>62</v>
      </c>
      <c r="E26" s="20"/>
      <c r="G26" s="29"/>
      <c r="H26" s="29"/>
    </row>
    <row r="27" spans="1:8">
      <c r="A27" t="s">
        <v>63</v>
      </c>
      <c r="B27" s="13" t="s">
        <v>64</v>
      </c>
      <c r="E27" s="20"/>
      <c r="G27" s="29"/>
      <c r="H27" s="29"/>
    </row>
    <row r="28" spans="1:8">
      <c r="G28" s="29"/>
      <c r="H28" s="29"/>
    </row>
    <row r="29" spans="1:8" ht="18">
      <c r="A29" s="17" t="s">
        <v>65</v>
      </c>
      <c r="G29" s="29"/>
      <c r="H29" s="29"/>
    </row>
    <row r="30" spans="1:8">
      <c r="A30" s="18" t="s">
        <v>46</v>
      </c>
      <c r="B30" s="18" t="s">
        <v>66</v>
      </c>
      <c r="G30" s="29"/>
      <c r="H30" s="29"/>
    </row>
    <row r="31" spans="1:8">
      <c r="A31" t="s">
        <v>67</v>
      </c>
      <c r="B31" s="18" t="s">
        <v>68</v>
      </c>
      <c r="G31" s="29"/>
      <c r="H31" s="29"/>
    </row>
    <row r="32" spans="1:8">
      <c r="A32" t="s">
        <v>69</v>
      </c>
      <c r="B32" s="18" t="s">
        <v>70</v>
      </c>
      <c r="G32" s="29"/>
      <c r="H32" s="29"/>
    </row>
    <row r="33" spans="1:8">
      <c r="G33" s="29"/>
      <c r="H33" s="29"/>
    </row>
    <row r="34" spans="1:8" ht="18">
      <c r="A34" s="17" t="s">
        <v>71</v>
      </c>
      <c r="G34" s="29"/>
      <c r="H34" s="29"/>
    </row>
    <row r="35" spans="1:8">
      <c r="A35" s="18" t="s">
        <v>46</v>
      </c>
      <c r="B35" s="18" t="s">
        <v>72</v>
      </c>
      <c r="G35" s="29"/>
      <c r="H35" s="29"/>
    </row>
    <row r="36" spans="1:8">
      <c r="A36" t="s">
        <v>73</v>
      </c>
      <c r="B36" s="18" t="s">
        <v>74</v>
      </c>
      <c r="E36" s="20"/>
      <c r="G36" s="29"/>
      <c r="H36" s="29"/>
    </row>
    <row r="37" spans="1:8">
      <c r="A37" t="s">
        <v>75</v>
      </c>
      <c r="B37" s="18" t="s">
        <v>76</v>
      </c>
      <c r="E37" s="20"/>
      <c r="G37" s="29"/>
      <c r="H37" s="29"/>
    </row>
    <row r="38" spans="1:8">
      <c r="G38" s="29"/>
      <c r="H38" s="29"/>
    </row>
    <row r="39" spans="1:8" ht="18">
      <c r="A39" s="17" t="s">
        <v>77</v>
      </c>
      <c r="G39" s="29"/>
      <c r="H39" s="29"/>
    </row>
    <row r="40" spans="1:8">
      <c r="A40" s="18" t="s">
        <v>46</v>
      </c>
      <c r="B40" s="18" t="s">
        <v>78</v>
      </c>
      <c r="G40" s="29"/>
      <c r="H40" s="29"/>
    </row>
    <row r="41" spans="1:8">
      <c r="A41" t="s">
        <v>79</v>
      </c>
      <c r="B41" s="18" t="s">
        <v>80</v>
      </c>
      <c r="E41" s="20"/>
      <c r="G41" s="29"/>
      <c r="H41" s="29"/>
    </row>
    <row r="42" spans="1:8">
      <c r="A42" t="s">
        <v>81</v>
      </c>
      <c r="B42" s="14" t="s">
        <v>42</v>
      </c>
      <c r="C42" s="19"/>
      <c r="D42" s="19"/>
      <c r="E42" s="19"/>
      <c r="F42" s="14" t="s">
        <v>43</v>
      </c>
      <c r="G42" s="29"/>
      <c r="H42" s="29"/>
    </row>
    <row r="43" spans="1:8">
      <c r="G43" s="29"/>
      <c r="H43" s="29"/>
    </row>
  </sheetData>
  <mergeCells count="1">
    <mergeCell ref="A1:H1"/>
  </mergeCells>
  <conditionalFormatting sqref="G1:H100">
    <cfRule type="expression" dxfId="15" priority="1">
      <formula>G1="✓"</formula>
    </cfRule>
    <cfRule type="expression" dxfId="14" priority="2">
      <formula>G1="✗"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57"/>
  <sheetViews>
    <sheetView tabSelected="1" zoomScale="98" workbookViewId="0">
      <selection activeCell="H40" sqref="H40"/>
    </sheetView>
  </sheetViews>
  <sheetFormatPr baseColWidth="10" defaultColWidth="8.83203125" defaultRowHeight="15"/>
  <cols>
    <col min="1" max="1" width="15" customWidth="1"/>
    <col min="2" max="2" width="9.83203125" customWidth="1"/>
    <col min="3" max="19" width="8" customWidth="1"/>
  </cols>
  <sheetData>
    <row r="1" spans="1:10">
      <c r="A1" s="27" t="s">
        <v>82</v>
      </c>
      <c r="B1" s="28"/>
      <c r="C1" s="28"/>
      <c r="D1" s="28"/>
      <c r="E1" s="28"/>
      <c r="F1" s="28"/>
      <c r="G1" s="28"/>
      <c r="H1" s="28"/>
      <c r="I1" s="28"/>
      <c r="J1" s="28"/>
    </row>
    <row r="2" spans="1:10" ht="23">
      <c r="A2" s="1" t="s">
        <v>83</v>
      </c>
    </row>
    <row r="4" spans="1:10">
      <c r="A4" s="13" t="s">
        <v>40</v>
      </c>
      <c r="B4" t="str">
        <f>COUNTIF(L:L,"✓")/15*100&amp;"%"</f>
        <v>0%</v>
      </c>
    </row>
    <row r="6" spans="1:10" ht="19">
      <c r="A6" s="4"/>
    </row>
    <row r="7" spans="1:10">
      <c r="A7" s="13" t="s">
        <v>84</v>
      </c>
      <c r="B7" s="21">
        <v>1</v>
      </c>
      <c r="C7" s="21">
        <v>2</v>
      </c>
      <c r="D7" s="21">
        <v>0</v>
      </c>
    </row>
    <row r="8" spans="1:10">
      <c r="B8" s="21">
        <v>3</v>
      </c>
      <c r="C8" s="21">
        <v>1</v>
      </c>
      <c r="D8" s="21">
        <v>1</v>
      </c>
    </row>
    <row r="9" spans="1:10">
      <c r="B9" s="21">
        <v>0</v>
      </c>
      <c r="C9" s="21">
        <v>1</v>
      </c>
      <c r="D9" s="21">
        <v>2</v>
      </c>
    </row>
    <row r="11" spans="1:10">
      <c r="A11" s="13" t="s">
        <v>85</v>
      </c>
      <c r="B11" s="22">
        <v>2</v>
      </c>
      <c r="C11" s="22">
        <v>0</v>
      </c>
      <c r="D11" s="22">
        <v>1</v>
      </c>
    </row>
    <row r="12" spans="1:10">
      <c r="B12" s="22">
        <v>1</v>
      </c>
      <c r="C12" s="22">
        <v>3</v>
      </c>
      <c r="D12" s="22">
        <v>0</v>
      </c>
    </row>
    <row r="13" spans="1:10">
      <c r="B13" s="22">
        <v>0</v>
      </c>
      <c r="C13" s="22">
        <v>1</v>
      </c>
      <c r="D13" s="22">
        <v>2</v>
      </c>
    </row>
    <row r="16" spans="1:10" ht="18">
      <c r="A16" s="17" t="s">
        <v>86</v>
      </c>
    </row>
    <row r="17" spans="1:4">
      <c r="A17" s="18" t="s">
        <v>87</v>
      </c>
    </row>
    <row r="18" spans="1:4">
      <c r="A18" t="s">
        <v>88</v>
      </c>
      <c r="B18" s="19"/>
      <c r="C18" s="19"/>
      <c r="D18" s="19"/>
    </row>
    <row r="19" spans="1:4">
      <c r="B19" s="19"/>
      <c r="C19" s="19"/>
      <c r="D19" s="19"/>
    </row>
    <row r="20" spans="1:4">
      <c r="B20" s="19"/>
      <c r="C20" s="19"/>
      <c r="D20" s="19"/>
    </row>
    <row r="23" spans="1:4" ht="18">
      <c r="A23" s="17" t="s">
        <v>89</v>
      </c>
    </row>
    <row r="24" spans="1:4">
      <c r="A24" s="18" t="s">
        <v>90</v>
      </c>
    </row>
    <row r="26" spans="1:4">
      <c r="A26" s="13" t="s">
        <v>91</v>
      </c>
    </row>
    <row r="27" spans="1:4">
      <c r="A27" s="23" t="s">
        <v>92</v>
      </c>
      <c r="B27" s="23" t="s">
        <v>93</v>
      </c>
    </row>
    <row r="28" spans="1:4">
      <c r="A28" s="24" t="s">
        <v>94</v>
      </c>
      <c r="B28" s="24" t="s">
        <v>95</v>
      </c>
    </row>
    <row r="29" spans="1:4">
      <c r="A29" t="s">
        <v>96</v>
      </c>
      <c r="B29" s="18" t="s">
        <v>97</v>
      </c>
    </row>
    <row r="30" spans="1:4" ht="16" thickBot="1"/>
    <row r="31" spans="1:4">
      <c r="A31" s="13" t="s">
        <v>98</v>
      </c>
      <c r="B31" s="19"/>
      <c r="C31" s="19"/>
      <c r="D31" s="19"/>
    </row>
    <row r="32" spans="1:4">
      <c r="B32" s="19"/>
      <c r="C32" s="19"/>
      <c r="D32" s="19"/>
    </row>
    <row r="33" spans="1:4">
      <c r="B33" s="19"/>
      <c r="C33" s="19"/>
      <c r="D33" s="19"/>
    </row>
    <row r="36" spans="1:4" ht="18">
      <c r="A36" s="17" t="s">
        <v>99</v>
      </c>
    </row>
    <row r="37" spans="1:4">
      <c r="A37" s="18" t="s">
        <v>100</v>
      </c>
    </row>
    <row r="38" spans="1:4">
      <c r="A38" t="s">
        <v>101</v>
      </c>
      <c r="B38" s="19"/>
      <c r="C38" s="19"/>
      <c r="D38" s="19"/>
    </row>
    <row r="39" spans="1:4">
      <c r="B39" s="19"/>
      <c r="C39" s="19"/>
      <c r="D39" s="19"/>
    </row>
    <row r="40" spans="1:4">
      <c r="B40" s="19"/>
      <c r="C40" s="19"/>
      <c r="D40" s="19"/>
    </row>
    <row r="43" spans="1:4" ht="18">
      <c r="A43" s="17" t="s">
        <v>102</v>
      </c>
    </row>
    <row r="44" spans="1:4">
      <c r="A44" s="18" t="s">
        <v>103</v>
      </c>
    </row>
    <row r="45" spans="1:4">
      <c r="A45" t="s">
        <v>104</v>
      </c>
      <c r="C45" s="18" t="s">
        <v>105</v>
      </c>
    </row>
    <row r="46" spans="1:4">
      <c r="A46" t="s">
        <v>106</v>
      </c>
      <c r="C46" s="18" t="s">
        <v>107</v>
      </c>
    </row>
    <row r="47" spans="1:4">
      <c r="A47" s="13" t="s">
        <v>108</v>
      </c>
      <c r="C47" s="20"/>
    </row>
    <row r="49" spans="1:3" ht="18">
      <c r="A49" s="17" t="s">
        <v>109</v>
      </c>
    </row>
    <row r="50" spans="1:3">
      <c r="A50" s="13" t="s">
        <v>110</v>
      </c>
      <c r="B50" s="21">
        <v>4</v>
      </c>
      <c r="C50" s="21">
        <v>2</v>
      </c>
    </row>
    <row r="51" spans="1:3">
      <c r="B51" s="21">
        <v>1</v>
      </c>
      <c r="C51" s="21">
        <v>3</v>
      </c>
    </row>
    <row r="53" spans="1:3" ht="16" thickBot="1">
      <c r="A53" s="18" t="s">
        <v>46</v>
      </c>
      <c r="B53" s="18" t="s">
        <v>111</v>
      </c>
    </row>
    <row r="54" spans="1:3" ht="16" thickBot="1">
      <c r="A54" t="s">
        <v>112</v>
      </c>
      <c r="B54" s="18" t="s">
        <v>113</v>
      </c>
      <c r="C54" s="19"/>
    </row>
    <row r="55" spans="1:3" ht="16" thickBot="1"/>
    <row r="56" spans="1:3">
      <c r="A56" t="s">
        <v>114</v>
      </c>
      <c r="B56" s="19"/>
      <c r="C56" s="19"/>
    </row>
    <row r="57" spans="1:3">
      <c r="B57" s="19"/>
      <c r="C57" s="19"/>
    </row>
  </sheetData>
  <mergeCells count="1">
    <mergeCell ref="A1:J1"/>
  </mergeCells>
  <conditionalFormatting sqref="F1:F100">
    <cfRule type="expression" dxfId="13" priority="5">
      <formula>F1="✓"</formula>
    </cfRule>
    <cfRule type="expression" dxfId="12" priority="6">
      <formula>F1="✗"</formula>
    </cfRule>
  </conditionalFormatting>
  <conditionalFormatting sqref="G1:G28 G30:G100">
    <cfRule type="expression" dxfId="11" priority="7">
      <formula>F1="✓"</formula>
    </cfRule>
    <cfRule type="expression" dxfId="10" priority="7">
      <formula>F1="✗"</formula>
    </cfRule>
  </conditionalFormatting>
  <conditionalFormatting sqref="H1:H100">
    <cfRule type="expression" dxfId="9" priority="8">
      <formula>F1="✓"</formula>
    </cfRule>
    <cfRule type="expression" dxfId="8" priority="8">
      <formula>F1="✗"</formula>
    </cfRule>
  </conditionalFormatting>
  <conditionalFormatting sqref="L1:L100">
    <cfRule type="expression" dxfId="7" priority="9">
      <formula>F1="✓"</formula>
    </cfRule>
    <cfRule type="expression" dxfId="6" priority="9">
      <formula>F1="✗"</formula>
    </cfRule>
  </conditionalFormatting>
  <conditionalFormatting sqref="E54">
    <cfRule type="expression" dxfId="3" priority="3">
      <formula>E54="✓"</formula>
    </cfRule>
    <cfRule type="expression" dxfId="2" priority="4">
      <formula>E54="✗"</formula>
    </cfRule>
  </conditionalFormatting>
  <conditionalFormatting sqref="G29">
    <cfRule type="expression" dxfId="1" priority="1">
      <formula>G29="✓"</formula>
    </cfRule>
    <cfRule type="expression" dxfId="0" priority="2">
      <formula>G29="✗"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47"/>
  <sheetViews>
    <sheetView workbookViewId="0">
      <selection activeCell="B42" sqref="B42"/>
    </sheetView>
  </sheetViews>
  <sheetFormatPr baseColWidth="10" defaultColWidth="8.83203125" defaultRowHeight="15"/>
  <cols>
    <col min="1" max="1" width="20" customWidth="1"/>
    <col min="2" max="2" width="30" customWidth="1"/>
    <col min="3" max="14" width="10" customWidth="1"/>
  </cols>
  <sheetData>
    <row r="1" spans="1:6">
      <c r="A1" s="27" t="s">
        <v>115</v>
      </c>
      <c r="B1" s="28"/>
      <c r="C1" s="28"/>
      <c r="D1" s="28"/>
      <c r="E1" s="28"/>
      <c r="F1" s="28"/>
    </row>
    <row r="2" spans="1:6" ht="23">
      <c r="A2" s="1" t="s">
        <v>116</v>
      </c>
    </row>
    <row r="4" spans="1:6">
      <c r="A4" s="13" t="s">
        <v>40</v>
      </c>
      <c r="B4" t="str">
        <f>COUNTIF(F:F,"✓")/8*100&amp;"%"</f>
        <v>0%</v>
      </c>
    </row>
    <row r="6" spans="1:6" ht="19">
      <c r="A6" s="4"/>
    </row>
    <row r="7" spans="1:6">
      <c r="A7" s="18" t="s">
        <v>117</v>
      </c>
      <c r="B7" s="18" t="s">
        <v>118</v>
      </c>
    </row>
    <row r="8" spans="1:6">
      <c r="A8" s="18" t="s">
        <v>119</v>
      </c>
      <c r="B8" s="18" t="s">
        <v>120</v>
      </c>
    </row>
    <row r="10" spans="1:6" ht="19">
      <c r="A10" s="4"/>
    </row>
    <row r="11" spans="1:6" ht="16">
      <c r="A11" s="13" t="s">
        <v>110</v>
      </c>
      <c r="B11" s="25">
        <v>4</v>
      </c>
      <c r="C11" s="25">
        <v>2</v>
      </c>
    </row>
    <row r="12" spans="1:6" ht="16">
      <c r="B12" s="25">
        <v>1</v>
      </c>
      <c r="C12" s="25">
        <v>3</v>
      </c>
    </row>
    <row r="15" spans="1:6" ht="18">
      <c r="A15" s="17" t="s">
        <v>121</v>
      </c>
    </row>
    <row r="16" spans="1:6">
      <c r="A16" s="18" t="s">
        <v>122</v>
      </c>
      <c r="B16" s="18" t="s">
        <v>123</v>
      </c>
    </row>
    <row r="18" spans="1:5">
      <c r="A18" s="18" t="s">
        <v>124</v>
      </c>
    </row>
    <row r="19" spans="1:5">
      <c r="A19" t="s">
        <v>125</v>
      </c>
      <c r="B19" s="18" t="s">
        <v>126</v>
      </c>
    </row>
    <row r="20" spans="1:5">
      <c r="A20" t="s">
        <v>127</v>
      </c>
      <c r="B20" s="18" t="s">
        <v>128</v>
      </c>
    </row>
    <row r="22" spans="1:5">
      <c r="A22" s="18" t="s">
        <v>129</v>
      </c>
      <c r="D22" s="20"/>
    </row>
    <row r="23" spans="1:5">
      <c r="A23" s="18" t="s">
        <v>130</v>
      </c>
      <c r="D23" s="20"/>
    </row>
    <row r="25" spans="1:5" ht="18">
      <c r="A25" s="17" t="s">
        <v>131</v>
      </c>
    </row>
    <row r="26" spans="1:5">
      <c r="A26" s="18" t="s">
        <v>119</v>
      </c>
      <c r="B26" s="18" t="s">
        <v>132</v>
      </c>
    </row>
    <row r="27" spans="1:5">
      <c r="A27" s="18" t="s">
        <v>133</v>
      </c>
      <c r="B27" s="18" t="s">
        <v>134</v>
      </c>
    </row>
    <row r="29" spans="1:5">
      <c r="A29" t="s">
        <v>135</v>
      </c>
      <c r="C29" s="18" t="s">
        <v>136</v>
      </c>
      <c r="E29" s="20"/>
    </row>
    <row r="31" spans="1:5">
      <c r="A31" s="13" t="s">
        <v>137</v>
      </c>
      <c r="C31" s="20"/>
    </row>
    <row r="32" spans="1:5">
      <c r="A32" s="13" t="s">
        <v>138</v>
      </c>
      <c r="C32" s="20"/>
    </row>
    <row r="34" spans="1:5" ht="18">
      <c r="A34" s="17" t="s">
        <v>139</v>
      </c>
    </row>
    <row r="35" spans="1:5">
      <c r="A35" s="18" t="s">
        <v>140</v>
      </c>
    </row>
    <row r="36" spans="1:5">
      <c r="A36" s="18" t="s">
        <v>141</v>
      </c>
    </row>
    <row r="38" spans="1:5" ht="18">
      <c r="A38" s="17" t="s">
        <v>142</v>
      </c>
    </row>
    <row r="39" spans="1:5">
      <c r="A39" s="18" t="s">
        <v>143</v>
      </c>
    </row>
    <row r="41" spans="1:5">
      <c r="A41" s="18" t="s">
        <v>144</v>
      </c>
      <c r="B41" s="18" t="s">
        <v>145</v>
      </c>
    </row>
    <row r="42" spans="1:5">
      <c r="B42" s="26" t="e">
        <f>#REF!</f>
        <v>#REF!</v>
      </c>
    </row>
    <row r="44" spans="1:5">
      <c r="A44" s="18" t="s">
        <v>146</v>
      </c>
      <c r="B44" s="18" t="s">
        <v>147</v>
      </c>
    </row>
    <row r="45" spans="1:5">
      <c r="B45" s="18" t="s">
        <v>148</v>
      </c>
    </row>
    <row r="47" spans="1:5">
      <c r="A47" s="13" t="s">
        <v>149</v>
      </c>
      <c r="B47" s="14" t="s">
        <v>42</v>
      </c>
      <c r="C47" s="20"/>
      <c r="D47" s="20"/>
      <c r="E47" s="14" t="s">
        <v>43</v>
      </c>
    </row>
  </sheetData>
  <mergeCells count="1">
    <mergeCell ref="A1:F1"/>
  </mergeCells>
  <conditionalFormatting sqref="F1:F100">
    <cfRule type="expression" dxfId="5" priority="1">
      <formula>F1="✓"</formula>
    </cfRule>
    <cfRule type="expression" dxfId="4" priority="2">
      <formula>F1="✗"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62"/>
  <sheetViews>
    <sheetView workbookViewId="0">
      <selection sqref="A1:E1"/>
    </sheetView>
  </sheetViews>
  <sheetFormatPr baseColWidth="10" defaultColWidth="8.83203125" defaultRowHeight="15"/>
  <cols>
    <col min="1" max="1" width="25" customWidth="1"/>
    <col min="2" max="4" width="12" customWidth="1"/>
  </cols>
  <sheetData>
    <row r="1" spans="1:5">
      <c r="A1" s="27" t="s">
        <v>150</v>
      </c>
      <c r="B1" s="28"/>
      <c r="C1" s="28"/>
      <c r="D1" s="28"/>
      <c r="E1" s="28"/>
    </row>
    <row r="2" spans="1:5" ht="23">
      <c r="A2" s="1" t="s">
        <v>151</v>
      </c>
    </row>
    <row r="4" spans="1:5" ht="19">
      <c r="A4" s="4"/>
    </row>
    <row r="5" spans="1:5">
      <c r="A5" t="s">
        <v>152</v>
      </c>
      <c r="B5">
        <v>4</v>
      </c>
      <c r="C5">
        <v>6</v>
      </c>
      <c r="D5">
        <v>2</v>
      </c>
    </row>
    <row r="6" spans="1:5">
      <c r="A6" t="s">
        <v>153</v>
      </c>
      <c r="B6">
        <v>2</v>
      </c>
      <c r="C6">
        <v>2</v>
      </c>
      <c r="D6">
        <v>-2</v>
      </c>
    </row>
    <row r="7" spans="1:5">
      <c r="A7" t="s">
        <v>154</v>
      </c>
      <c r="B7">
        <v>6</v>
      </c>
      <c r="C7">
        <v>8</v>
      </c>
      <c r="D7">
        <v>0</v>
      </c>
    </row>
    <row r="9" spans="1:5">
      <c r="A9" t="s">
        <v>155</v>
      </c>
      <c r="B9">
        <v>3</v>
      </c>
    </row>
    <row r="10" spans="1:5">
      <c r="A10" t="s">
        <v>156</v>
      </c>
      <c r="B10">
        <v>8</v>
      </c>
    </row>
    <row r="11" spans="1:5">
      <c r="A11" t="s">
        <v>157</v>
      </c>
      <c r="B11">
        <v>0</v>
      </c>
    </row>
    <row r="12" spans="1:5">
      <c r="A12" t="s">
        <v>158</v>
      </c>
      <c r="B12">
        <v>11</v>
      </c>
    </row>
    <row r="14" spans="1:5">
      <c r="A14" t="s">
        <v>159</v>
      </c>
      <c r="B14">
        <v>5</v>
      </c>
    </row>
    <row r="15" spans="1:5">
      <c r="A15" t="s">
        <v>160</v>
      </c>
      <c r="B15">
        <v>3</v>
      </c>
    </row>
    <row r="17" spans="1:4">
      <c r="A17" t="s">
        <v>161</v>
      </c>
      <c r="B17">
        <v>0.73329999999999995</v>
      </c>
    </row>
    <row r="18" spans="1:4">
      <c r="A18" t="s">
        <v>162</v>
      </c>
      <c r="B18">
        <v>42.83</v>
      </c>
    </row>
    <row r="20" spans="1:4">
      <c r="A20" t="s">
        <v>163</v>
      </c>
      <c r="B20">
        <v>0.44</v>
      </c>
    </row>
    <row r="21" spans="1:4">
      <c r="A21" t="s">
        <v>164</v>
      </c>
      <c r="B21">
        <v>1.32</v>
      </c>
      <c r="C21">
        <v>1.76</v>
      </c>
      <c r="D21">
        <v>0</v>
      </c>
    </row>
    <row r="24" spans="1:4" ht="19">
      <c r="A24" s="4"/>
    </row>
    <row r="25" spans="1:4">
      <c r="A25" t="s">
        <v>165</v>
      </c>
      <c r="B25">
        <v>3</v>
      </c>
      <c r="C25">
        <v>2</v>
      </c>
      <c r="D25">
        <v>1</v>
      </c>
    </row>
    <row r="26" spans="1:4">
      <c r="B26">
        <v>4</v>
      </c>
      <c r="C26">
        <v>4</v>
      </c>
      <c r="D26">
        <v>1</v>
      </c>
    </row>
    <row r="27" spans="1:4">
      <c r="B27">
        <v>0</v>
      </c>
      <c r="C27">
        <v>2</v>
      </c>
      <c r="D27">
        <v>4</v>
      </c>
    </row>
    <row r="29" spans="1:4">
      <c r="A29" t="s">
        <v>166</v>
      </c>
      <c r="B29">
        <v>4</v>
      </c>
    </row>
    <row r="31" spans="1:4">
      <c r="A31" t="s">
        <v>167</v>
      </c>
      <c r="B31">
        <v>4</v>
      </c>
      <c r="C31">
        <v>6</v>
      </c>
      <c r="D31">
        <v>1</v>
      </c>
    </row>
    <row r="32" spans="1:4">
      <c r="B32">
        <v>7</v>
      </c>
      <c r="C32">
        <v>4</v>
      </c>
      <c r="D32">
        <v>5</v>
      </c>
    </row>
    <row r="33" spans="1:4">
      <c r="B33">
        <v>1</v>
      </c>
      <c r="C33">
        <v>5</v>
      </c>
      <c r="D33">
        <v>4</v>
      </c>
    </row>
    <row r="35" spans="1:4">
      <c r="A35" t="s">
        <v>168</v>
      </c>
      <c r="B35">
        <v>1</v>
      </c>
      <c r="C35">
        <v>3</v>
      </c>
      <c r="D35">
        <v>0</v>
      </c>
    </row>
    <row r="36" spans="1:4">
      <c r="B36">
        <v>2</v>
      </c>
      <c r="C36">
        <v>1</v>
      </c>
      <c r="D36">
        <v>1</v>
      </c>
    </row>
    <row r="37" spans="1:4">
      <c r="B37">
        <v>0</v>
      </c>
      <c r="C37">
        <v>1</v>
      </c>
      <c r="D37">
        <v>2</v>
      </c>
    </row>
    <row r="39" spans="1:4">
      <c r="A39" t="s">
        <v>169</v>
      </c>
      <c r="B39">
        <v>-11</v>
      </c>
    </row>
    <row r="42" spans="1:4" ht="19">
      <c r="A42" s="4"/>
    </row>
    <row r="43" spans="1:4">
      <c r="A43" t="s">
        <v>170</v>
      </c>
      <c r="B43">
        <v>10</v>
      </c>
    </row>
    <row r="45" spans="1:4">
      <c r="A45" t="s">
        <v>171</v>
      </c>
      <c r="B45">
        <v>0.3</v>
      </c>
      <c r="C45">
        <v>-0.2</v>
      </c>
    </row>
    <row r="46" spans="1:4">
      <c r="B46">
        <v>-0.1</v>
      </c>
      <c r="C46">
        <v>0.4</v>
      </c>
    </row>
    <row r="49" spans="1:3" ht="19">
      <c r="A49" s="4"/>
    </row>
    <row r="50" spans="1:3">
      <c r="A50" t="s">
        <v>172</v>
      </c>
      <c r="B50">
        <v>7</v>
      </c>
    </row>
    <row r="51" spans="1:3">
      <c r="A51" t="s">
        <v>170</v>
      </c>
      <c r="B51">
        <v>10</v>
      </c>
    </row>
    <row r="54" spans="1:3">
      <c r="A54" t="s">
        <v>173</v>
      </c>
      <c r="B54">
        <v>9</v>
      </c>
    </row>
    <row r="56" spans="1:3">
      <c r="A56" t="s">
        <v>174</v>
      </c>
      <c r="B56">
        <v>5</v>
      </c>
    </row>
    <row r="57" spans="1:3">
      <c r="A57" t="s">
        <v>175</v>
      </c>
      <c r="B57">
        <v>2</v>
      </c>
    </row>
    <row r="62" spans="1:3">
      <c r="A62" t="s">
        <v>176</v>
      </c>
      <c r="B62">
        <v>0.89439999999999997</v>
      </c>
      <c r="C62">
        <v>0.44719999999999999</v>
      </c>
    </row>
  </sheetData>
  <mergeCells count="1"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Instructions</vt:lpstr>
      <vt:lpstr>Vector_Operations</vt:lpstr>
      <vt:lpstr>Matrix_Operations</vt:lpstr>
      <vt:lpstr>Eigenvalue_Eigenvector</vt:lpstr>
      <vt:lpstr>Answer_Key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Jihwan Kim</cp:lastModifiedBy>
  <dcterms:created xsi:type="dcterms:W3CDTF">2026-01-20T07:58:59Z</dcterms:created>
  <dcterms:modified xsi:type="dcterms:W3CDTF">2026-02-10T02:05:05Z</dcterms:modified>
</cp:coreProperties>
</file>