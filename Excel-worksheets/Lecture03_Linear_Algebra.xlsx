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Vector_Operations" sheetId="2" state="visible" r:id="rId2"/>
    <sheet xmlns:r="http://schemas.openxmlformats.org/officeDocument/2006/relationships" name="Matrix_Operations" sheetId="3" state="visible" r:id="rId3"/>
    <sheet xmlns:r="http://schemas.openxmlformats.org/officeDocument/2006/relationships" name="Eigenvalue_Eigenvector" sheetId="4" state="visible" r:id="rId4"/>
    <sheet xmlns:r="http://schemas.openxmlformats.org/officeDocument/2006/relationships" name="Answer_Ke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sz val="16"/>
    </font>
    <font>
      <i val="1"/>
      <sz val="11"/>
    </font>
    <font>
      <name val="맑은 고딕"/>
      <sz val="11"/>
    </font>
    <font>
      <name val="맑은 고딕"/>
      <b val="1"/>
      <sz val="13"/>
    </font>
    <font>
      <name val="Cambria Math"/>
      <sz val="11"/>
    </font>
    <font>
      <b val="1"/>
    </font>
    <font>
      <name val="Consolas"/>
      <sz val="11"/>
    </font>
    <font>
      <name val="맑은 고딕"/>
      <b val="1"/>
      <color rgb="004472C4"/>
      <sz val="12"/>
    </font>
    <font>
      <b val="1"/>
      <sz val="12"/>
    </font>
  </fonts>
  <fills count="12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F8CBAD"/>
        <bgColor rgb="00F8CBAD"/>
      </patternFill>
    </fill>
    <fill>
      <patternFill patternType="solid">
        <fgColor rgb="00E4DFEC"/>
        <bgColor rgb="00E4DFEC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  <fill>
      <patternFill patternType="solid">
        <fgColor rgb="00FFB6C1"/>
        <bgColor rgb="00FFB6C1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0" fillId="9" borderId="0" pivotButton="0" quotePrefix="0" xfId="0"/>
    <xf numFmtId="0" fontId="0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9" fillId="10" borderId="1" applyAlignment="1" pivotButton="0" quotePrefix="0" xfId="0">
      <alignment horizontal="center" vertical="center"/>
    </xf>
    <xf numFmtId="0" fontId="0" fillId="4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90EE90"/>
          <bgColor rgb="0090EE90"/>
        </patternFill>
      </fill>
    </dxf>
    <dxf>
      <fill>
        <patternFill patternType="solid">
          <fgColor rgb="00FFB6C1"/>
          <bgColor rgb="00FFB6C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80" customWidth="1" min="1" max="1"/>
    <col width="5" customWidth="1" min="2" max="2"/>
  </cols>
  <sheetData>
    <row r="1">
      <c r="A1" s="1" t="inlineStr">
        <is>
          <t>Basic Linear Algebra Calculation Practice Worksheet</t>
        </is>
      </c>
    </row>
    <row r="2"/>
    <row r="3">
      <c r="A3" s="2" t="inlineStr">
        <is>
          <t>Lecture 03 Part 1: Mathematical Foundations</t>
        </is>
      </c>
    </row>
    <row r="4">
      <c r="A4" s="3">
        <f>=====================================================================</f>
        <v/>
      </c>
    </row>
    <row r="5"/>
    <row r="6">
      <c r="A6" s="4" t="inlineStr">
        <is>
          <t>[Learning Objectives]</t>
        </is>
      </c>
    </row>
    <row r="7">
      <c r="A7" s="3" t="inlineStr">
        <is>
          <t>1. Understand basic vector operations (addition, scalar multiplication, dot product)</t>
        </is>
      </c>
    </row>
    <row r="8">
      <c r="A8" s="3" t="inlineStr">
        <is>
          <t>2. Calculate vector norm (length) and angle</t>
        </is>
      </c>
    </row>
    <row r="9">
      <c r="A9" s="3" t="inlineStr">
        <is>
          <t>3. Understand matrix multiplication principle (row × column)</t>
        </is>
      </c>
    </row>
    <row r="10">
      <c r="A10" s="3" t="inlineStr">
        <is>
          <t>4. Calculate determinant and inverse matrix</t>
        </is>
      </c>
    </row>
    <row r="11">
      <c r="A11" s="3" t="inlineStr">
        <is>
          <t>5. Meaning and calculation of eigenvalues and eigenvectors</t>
        </is>
      </c>
    </row>
    <row r="12"/>
    <row r="13">
      <c r="A13" s="4" t="inlineStr">
        <is>
          <t>[Key Formulas - Vector]</t>
        </is>
      </c>
    </row>
    <row r="14">
      <c r="A14" s="5" t="inlineStr">
        <is>
          <t>• Dot Product:  u · v = Σ uᵢvᵢ = u₁v₁ + u₂v₂ + ... + uₙvₙ</t>
        </is>
      </c>
    </row>
    <row r="15">
      <c r="A15" s="5" t="inlineStr">
        <is>
          <t>• Norm:  ||u|| = √(u · u) = √(u₁² + u₂² + ... + uₙ²)</t>
        </is>
      </c>
    </row>
    <row r="16">
      <c r="A16" s="5" t="inlineStr">
        <is>
          <t>• Angle between vectors: cos(θ) = (u · v) / (||u|| × ||v||)</t>
        </is>
      </c>
    </row>
    <row r="17">
      <c r="A17" s="5" t="inlineStr">
        <is>
          <t>• Projection:  proj_u(v) = [(v · u) / (u · u)] × u</t>
        </is>
      </c>
    </row>
    <row r="18"/>
    <row r="19">
      <c r="A19" s="4" t="inlineStr">
        <is>
          <t>[Key Formulas - Matrix]</t>
        </is>
      </c>
    </row>
    <row r="20">
      <c r="A20" s="5" t="inlineStr">
        <is>
          <t>• Matrix multiplication: (AB)ᵢⱼ = Σₖ Aᵢₖ × Bₖⱼ (dot product of A's row i and B's column j)</t>
        </is>
      </c>
    </row>
    <row r="21">
      <c r="A21" s="5" t="inlineStr">
        <is>
          <t>• Transpose matrix: (Aᵀ)ᵢⱼ = Aⱼᵢ (swap rows and columns)</t>
        </is>
      </c>
    </row>
    <row r="22">
      <c r="A22" s="5" t="inlineStr">
        <is>
          <t>• 2×2 determinant: det[a b; c d] = ad - bc</t>
        </is>
      </c>
    </row>
    <row r="23">
      <c r="A23" s="5" t="inlineStr">
        <is>
          <t>• 3×3 determinant: Sarrus' rule or cofactor expansion</t>
        </is>
      </c>
    </row>
    <row r="24">
      <c r="A24" s="5" t="inlineStr">
        <is>
          <t>• 2×2 inverse: A⁻¹ = (1/det(A)) × [d -b; -c a]</t>
        </is>
      </c>
    </row>
    <row r="25"/>
    <row r="26">
      <c r="A26" s="4" t="inlineStr">
        <is>
          <t>[Key Formulas - Eigenvalue]</t>
        </is>
      </c>
    </row>
    <row r="27">
      <c r="A27" s="5" t="inlineStr">
        <is>
          <t>• Eigenvalue definition: Av = λv (A scales v by λ)</t>
        </is>
      </c>
    </row>
    <row r="28">
      <c r="A28" s="5" t="inlineStr">
        <is>
          <t>• Characteristic equation: det(A - λI) = 0</t>
        </is>
      </c>
    </row>
    <row r="29">
      <c r="A29" s="5" t="inlineStr">
        <is>
          <t>• 2×2 characteristic equation: λ² - (a+d)λ + (ad-bc) = 0</t>
        </is>
      </c>
    </row>
    <row r="30">
      <c r="A30" s="5" t="inlineStr">
        <is>
          <t>• trace(A) = λ₁ + λ₂,  det(A) = λ₁ × λ₂</t>
        </is>
      </c>
    </row>
    <row r="31"/>
    <row r="32">
      <c r="A32" s="4" t="inlineStr">
        <is>
          <t>[Color Legend]</t>
        </is>
      </c>
    </row>
    <row r="33">
      <c r="A33" s="3" t="inlineStr">
        <is>
          <t xml:space="preserve">  ■ Vector/Matrix A</t>
        </is>
      </c>
      <c r="B33" s="6" t="n"/>
    </row>
    <row r="34">
      <c r="A34" s="3" t="inlineStr">
        <is>
          <t xml:space="preserve">  ■ Vector/Matrix B</t>
        </is>
      </c>
      <c r="B34" s="7" t="n"/>
    </row>
    <row r="35">
      <c r="A35" s="3" t="inlineStr">
        <is>
          <t xml:space="preserve">  ■ Intermediate calculation</t>
        </is>
      </c>
      <c r="B35" s="8" t="n"/>
    </row>
    <row r="36">
      <c r="A36" s="3" t="inlineStr">
        <is>
          <t xml:space="preserve">  ■ Result</t>
        </is>
      </c>
      <c r="B36" s="9" t="n"/>
    </row>
    <row r="37">
      <c r="A37" s="3" t="inlineStr">
        <is>
          <t xml:space="preserve">  ■ Student input cell</t>
        </is>
      </c>
      <c r="B37" s="10" t="n"/>
    </row>
    <row r="38">
      <c r="A38" s="3" t="inlineStr">
        <is>
          <t xml:space="preserve">  ■ Answer</t>
        </is>
      </c>
      <c r="B38" s="11" t="n"/>
    </row>
    <row r="39">
      <c r="A39" s="3" t="inlineStr">
        <is>
          <t xml:space="preserve">  ■ Wrong</t>
        </is>
      </c>
      <c r="B39" s="12" t="n"/>
    </row>
    <row r="40"/>
    <row r="41">
      <c r="A41" s="4" t="inlineStr">
        <is>
          <t>[How to Use]</t>
        </is>
      </c>
    </row>
    <row r="42">
      <c r="A42" s="3" t="inlineStr">
        <is>
          <t>1. Enter calculation results in yellow cells in each sheet</t>
        </is>
      </c>
    </row>
    <row r="43">
      <c r="A43" s="3" t="inlineStr">
        <is>
          <t>2. Check ✓(correct) or ✗(wrong) in verification cells</t>
        </is>
      </c>
    </row>
    <row r="44">
      <c r="A44" s="3" t="inlineStr">
        <is>
          <t>3. Tolerance: 0.001 (up to 3 decimal places)</t>
        </is>
      </c>
    </row>
    <row r="45">
      <c r="A45" s="3" t="inlineStr">
        <is>
          <t>4. Remember matrix multiplication follows 'row × column' order!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Vector Operations</t>
        </is>
      </c>
    </row>
    <row r="2"/>
    <row r="3">
      <c r="A3" s="13" t="inlineStr">
        <is>
          <t>Progress:</t>
        </is>
      </c>
      <c r="B3">
        <f>COUNTIF(G:G,"✓")/15*100&amp;"%"</f>
        <v/>
      </c>
    </row>
    <row r="4"/>
    <row r="5">
      <c r="A5" s="4">
        <f>== Vector Definition ===</f>
        <v/>
      </c>
    </row>
    <row r="6">
      <c r="A6" s="13" t="inlineStr">
        <is>
          <t>Vector u =</t>
        </is>
      </c>
      <c r="B6" s="14" t="inlineStr">
        <is>
          <t>[</t>
        </is>
      </c>
      <c r="C6" s="15" t="n">
        <v>3</v>
      </c>
      <c r="D6" s="15" t="n">
        <v>4</v>
      </c>
      <c r="E6" s="15" t="n">
        <v>0</v>
      </c>
      <c r="F6" s="14" t="inlineStr">
        <is>
          <t>]</t>
        </is>
      </c>
    </row>
    <row r="7">
      <c r="A7" s="13" t="inlineStr">
        <is>
          <t>Vector v =</t>
        </is>
      </c>
      <c r="B7" s="14" t="inlineStr">
        <is>
          <t>[</t>
        </is>
      </c>
      <c r="C7" s="16" t="n">
        <v>1</v>
      </c>
      <c r="D7" s="16" t="n">
        <v>2</v>
      </c>
      <c r="E7" s="16" t="n">
        <v>2</v>
      </c>
      <c r="F7" s="14" t="inlineStr">
        <is>
          <t>]</t>
        </is>
      </c>
    </row>
    <row r="8"/>
    <row r="9">
      <c r="A9" s="17" t="inlineStr">
        <is>
          <t>▶ 1. Vector addition (u + v)</t>
        </is>
      </c>
    </row>
    <row r="10">
      <c r="A10" s="18" t="inlineStr">
        <is>
          <t>Formula:</t>
        </is>
      </c>
      <c r="B10" s="18" t="inlineStr">
        <is>
          <t>[u₁+v₁, u₂+v₂, u₃+v₃]</t>
        </is>
      </c>
    </row>
    <row r="11">
      <c r="A11" t="inlineStr">
        <is>
          <t>u + v =</t>
        </is>
      </c>
      <c r="B11" s="14" t="inlineStr">
        <is>
          <t>[</t>
        </is>
      </c>
      <c r="C11" s="19" t="n"/>
      <c r="D11" s="19" t="n"/>
      <c r="E11" s="19" t="n"/>
      <c r="F11" s="14" t="inlineStr">
        <is>
          <t>]</t>
        </is>
      </c>
      <c r="G11">
        <f>IF(AND(ABS(C11-Answer_Key!B3)&lt;0.001,ABS(D11-Answer_Key!C3)&lt;0.001,ABS(E11-Answer_Key!D3)&lt;0.001),"✓","✗")</f>
        <v/>
      </c>
    </row>
    <row r="12"/>
    <row r="13">
      <c r="A13" s="17" t="inlineStr">
        <is>
          <t>▶ 2. Vector subtraction (u - v)</t>
        </is>
      </c>
    </row>
    <row r="14">
      <c r="A14" s="18" t="inlineStr">
        <is>
          <t>Formula:</t>
        </is>
      </c>
      <c r="B14" s="18" t="inlineStr">
        <is>
          <t>[u₁-v₁, u₂-v₂, u₃-v₃]</t>
        </is>
      </c>
    </row>
    <row r="15">
      <c r="A15" t="inlineStr">
        <is>
          <t>u - v =</t>
        </is>
      </c>
      <c r="B15" s="14" t="inlineStr">
        <is>
          <t>[</t>
        </is>
      </c>
      <c r="C15" s="19" t="n"/>
      <c r="D15" s="19" t="n"/>
      <c r="E15" s="19" t="n"/>
      <c r="F15" s="14" t="inlineStr">
        <is>
          <t>]</t>
        </is>
      </c>
      <c r="G15">
        <f>IF(AND(ABS(C15-Answer_Key!B4)&lt;0.001,ABS(D15-Answer_Key!C4)&lt;0.001,ABS(E15-Answer_Key!D4)&lt;0.001),"✓","✗")</f>
        <v/>
      </c>
    </row>
    <row r="16"/>
    <row r="17">
      <c r="A17" s="17" t="inlineStr">
        <is>
          <t>▶ 3. Scalar multiplication (2 × u)</t>
        </is>
      </c>
    </row>
    <row r="18">
      <c r="A18" s="18" t="inlineStr">
        <is>
          <t>Formula:</t>
        </is>
      </c>
      <c r="B18" s="18" t="inlineStr">
        <is>
          <t>[c×u₁, c×u₂, c×u₃]</t>
        </is>
      </c>
    </row>
    <row r="19">
      <c r="A19" t="inlineStr">
        <is>
          <t>2 × u =</t>
        </is>
      </c>
      <c r="B19" s="14" t="inlineStr">
        <is>
          <t>[</t>
        </is>
      </c>
      <c r="C19" s="19" t="n"/>
      <c r="D19" s="19" t="n"/>
      <c r="E19" s="19" t="n"/>
      <c r="F19" s="14" t="inlineStr">
        <is>
          <t>]</t>
        </is>
      </c>
      <c r="G19">
        <f>IF(AND(ABS(C19-Answer_Key!B5)&lt;0.001,ABS(D19-Answer_Key!C5)&lt;0.001,ABS(E19-Answer_Key!D5)&lt;0.001),"✓","✗")</f>
        <v/>
      </c>
    </row>
    <row r="20"/>
    <row r="21">
      <c r="A21" s="17" t="inlineStr">
        <is>
          <t>▶ 4. Dot product (u · v)</t>
        </is>
      </c>
    </row>
    <row r="22">
      <c r="A22" s="18" t="inlineStr">
        <is>
          <t>Formula:</t>
        </is>
      </c>
      <c r="B22" s="18" t="inlineStr">
        <is>
          <t>u₁v₁ + u₂v₂ + u₃v₃</t>
        </is>
      </c>
    </row>
    <row r="23">
      <c r="A23" t="inlineStr">
        <is>
          <t>Step 1:</t>
        </is>
      </c>
      <c r="B23" s="18" t="inlineStr">
        <is>
          <t>u₁×v₁ = 3×1 =</t>
        </is>
      </c>
      <c r="E23" s="20" t="n"/>
      <c r="G23">
        <f>IF(ABS(E23-Answer_Key!B7)&lt;0.001,"✓","✗")</f>
        <v/>
      </c>
    </row>
    <row r="24">
      <c r="A24" t="inlineStr">
        <is>
          <t>Step 2:</t>
        </is>
      </c>
      <c r="B24" s="18" t="inlineStr">
        <is>
          <t>u₂×v₂ = 4×2 =</t>
        </is>
      </c>
      <c r="E24" s="20" t="n"/>
      <c r="G24">
        <f>IF(ABS(E24-Answer_Key!B8)&lt;0.001,"✓","✗")</f>
        <v/>
      </c>
    </row>
    <row r="25">
      <c r="A25" t="inlineStr">
        <is>
          <t>Step 3:</t>
        </is>
      </c>
      <c r="B25" s="18" t="inlineStr">
        <is>
          <t>u₃×v₃ = 0×2 =</t>
        </is>
      </c>
      <c r="E25" s="20" t="n"/>
      <c r="G25">
        <f>IF(ABS(E25-Answer_Key!B9)&lt;0.001,"✓","✗")</f>
        <v/>
      </c>
    </row>
    <row r="26">
      <c r="A26" t="inlineStr">
        <is>
          <t>Total:</t>
        </is>
      </c>
      <c r="B26" s="13" t="inlineStr">
        <is>
          <t>u · v =</t>
        </is>
      </c>
      <c r="E26" s="20" t="n"/>
      <c r="G26">
        <f>IF(ABS(E26-Answer_Key!B10)&lt;0.001,"✓","✗")</f>
        <v/>
      </c>
    </row>
    <row r="27"/>
    <row r="28">
      <c r="A28" s="17" t="inlineStr">
        <is>
          <t>▶ 5. Norm (||u||, ||v||)</t>
        </is>
      </c>
    </row>
    <row r="29">
      <c r="A29" s="18" t="inlineStr">
        <is>
          <t>Formula:</t>
        </is>
      </c>
      <c r="B29" s="18" t="inlineStr">
        <is>
          <t>||u|| = √(u₁² + u₂² + u₃²)</t>
        </is>
      </c>
    </row>
    <row r="30">
      <c r="A30" t="inlineStr">
        <is>
          <t>||u|| calculation:</t>
        </is>
      </c>
      <c r="B30" s="18" t="inlineStr">
        <is>
          <t>√(3² + 4² + 0²) = √(9 + 16 + 0) =</t>
        </is>
      </c>
      <c r="G30" s="20" t="n"/>
      <c r="H30">
        <f>IF(ABS(G30-Answer_Key!B12)&lt;0.001,"✓","✗")</f>
        <v/>
      </c>
    </row>
    <row r="31">
      <c r="A31" t="inlineStr">
        <is>
          <t>||v|| calculation:</t>
        </is>
      </c>
      <c r="B31" s="18" t="inlineStr">
        <is>
          <t>√(1² + 2² + 2²) = √(1 + 4 + 4) =</t>
        </is>
      </c>
      <c r="G31" s="20" t="n"/>
      <c r="H31">
        <f>IF(ABS(G31-Answer_Key!B13)&lt;0.001,"✓","✗")</f>
        <v/>
      </c>
    </row>
    <row r="32"/>
    <row r="33">
      <c r="A33" s="17" t="inlineStr">
        <is>
          <t>▶ 6. Angle between vectors</t>
        </is>
      </c>
    </row>
    <row r="34">
      <c r="A34" s="18" t="inlineStr">
        <is>
          <t>Formula:</t>
        </is>
      </c>
      <c r="B34" s="18" t="inlineStr">
        <is>
          <t>cos(θ) = (u · v) / (||u|| × ||v||)</t>
        </is>
      </c>
    </row>
    <row r="35">
      <c r="A35" t="inlineStr">
        <is>
          <t>cos(θ) =</t>
        </is>
      </c>
      <c r="B35" s="18" t="inlineStr">
        <is>
          <t>(u · v) / (||u|| × ||v||) =</t>
        </is>
      </c>
      <c r="E35" s="20" t="n"/>
      <c r="G35">
        <f>IF(ABS(E35-Answer_Key!B15)&lt;0.001,"✓","✗")</f>
        <v/>
      </c>
    </row>
    <row r="36">
      <c r="A36" t="inlineStr">
        <is>
          <t>θ (degrees) =</t>
        </is>
      </c>
      <c r="B36" s="18" t="inlineStr">
        <is>
          <t>arccos(cos(θ)) × (180/π) =</t>
        </is>
      </c>
      <c r="E36" s="20" t="n"/>
      <c r="G36">
        <f>IF(ABS(E36-Answer_Key!B16)&lt;1,"✓","✗")</f>
        <v/>
      </c>
    </row>
    <row r="37"/>
    <row r="38">
      <c r="A38" s="17" t="inlineStr">
        <is>
          <t>▶ 7. Projection (project v onto u)</t>
        </is>
      </c>
    </row>
    <row r="39">
      <c r="A39" s="18" t="inlineStr">
        <is>
          <t>Formula:</t>
        </is>
      </c>
      <c r="B39" s="18" t="inlineStr">
        <is>
          <t>proj_u(v) = [(v · u) / (u · u)] × u</t>
        </is>
      </c>
    </row>
    <row r="40">
      <c r="A40" t="inlineStr">
        <is>
          <t>Scalar coefficient:</t>
        </is>
      </c>
      <c r="B40" s="18" t="inlineStr">
        <is>
          <t>(v · u) / (u · u) =</t>
        </is>
      </c>
      <c r="E40" s="20" t="n"/>
      <c r="G40">
        <f>IF(ABS(E40-Answer_Key!B18)&lt;0.001,"✓","✗")</f>
        <v/>
      </c>
    </row>
    <row r="41">
      <c r="A41" t="inlineStr">
        <is>
          <t>proj_u(v) =</t>
        </is>
      </c>
      <c r="B41" s="14" t="inlineStr">
        <is>
          <t>[</t>
        </is>
      </c>
      <c r="C41" s="19" t="n"/>
      <c r="D41" s="19" t="n"/>
      <c r="E41" s="19" t="n"/>
      <c r="F41" s="14" t="inlineStr">
        <is>
          <t>]</t>
        </is>
      </c>
      <c r="G41">
        <f>IF(AND(ABS(C41-Answer_Key!B19)&lt;0.001,ABS(D41-Answer_Key!C19)&lt;0.001,ABS(E41-Answer_Key!D19)&lt;0.001),"✓","✗")</f>
        <v/>
      </c>
    </row>
  </sheetData>
  <conditionalFormatting sqref="G1:H100">
    <cfRule type="expression" priority="1" dxfId="0">
      <formula>G1="✓"</formula>
    </cfRule>
    <cfRule type="expression" priority="2" dxfId="1">
      <formula>G1="✗"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1" t="inlineStr">
        <is>
          <t>Matrix Operations</t>
        </is>
      </c>
    </row>
    <row r="2"/>
    <row r="3">
      <c r="A3" s="13" t="inlineStr">
        <is>
          <t>Progress:</t>
        </is>
      </c>
      <c r="B3">
        <f>COUNTIF(L:L,"✓")/15*100&amp;"%"</f>
        <v/>
      </c>
    </row>
    <row r="4"/>
    <row r="5">
      <c r="A5" s="4">
        <f>== Matrix Definition ===</f>
        <v/>
      </c>
    </row>
    <row r="6">
      <c r="A6" s="13" t="inlineStr">
        <is>
          <t>Matrix A =</t>
        </is>
      </c>
      <c r="B6" s="21" t="n">
        <v>1</v>
      </c>
      <c r="C6" s="21" t="n">
        <v>2</v>
      </c>
      <c r="D6" s="21" t="n">
        <v>0</v>
      </c>
    </row>
    <row r="7">
      <c r="B7" s="21" t="n">
        <v>3</v>
      </c>
      <c r="C7" s="21" t="n">
        <v>1</v>
      </c>
      <c r="D7" s="21" t="n">
        <v>1</v>
      </c>
    </row>
    <row r="8">
      <c r="B8" s="21" t="n">
        <v>0</v>
      </c>
      <c r="C8" s="21" t="n">
        <v>1</v>
      </c>
      <c r="D8" s="21" t="n">
        <v>2</v>
      </c>
    </row>
    <row r="9"/>
    <row r="10">
      <c r="A10" s="13" t="inlineStr">
        <is>
          <t>Matrix B =</t>
        </is>
      </c>
      <c r="B10" s="22" t="n">
        <v>2</v>
      </c>
      <c r="C10" s="22" t="n">
        <v>0</v>
      </c>
      <c r="D10" s="22" t="n">
        <v>1</v>
      </c>
    </row>
    <row r="11">
      <c r="B11" s="22" t="n">
        <v>1</v>
      </c>
      <c r="C11" s="22" t="n">
        <v>3</v>
      </c>
      <c r="D11" s="22" t="n">
        <v>0</v>
      </c>
    </row>
    <row r="12">
      <c r="B12" s="22" t="n">
        <v>0</v>
      </c>
      <c r="C12" s="22" t="n">
        <v>1</v>
      </c>
      <c r="D12" s="22" t="n">
        <v>2</v>
      </c>
    </row>
    <row r="13"/>
    <row r="14"/>
    <row r="15">
      <c r="A15" s="17" t="inlineStr">
        <is>
          <t>▶ 1. Matrix addition (A + B)</t>
        </is>
      </c>
    </row>
    <row r="16">
      <c r="A16" s="18" t="inlineStr">
        <is>
          <t>Formula: Add elements at same positions</t>
        </is>
      </c>
    </row>
    <row r="17">
      <c r="A17" t="inlineStr">
        <is>
          <t>A + B =</t>
        </is>
      </c>
      <c r="B17" s="19" t="n"/>
      <c r="C17" s="19" t="n"/>
      <c r="D17" s="19" t="n"/>
      <c r="F17">
        <f>IF(AND(ABS(B17-Answer_Key!B23)&lt;0.001,ABS(C17-Answer_Key!C23)&lt;0.001,ABS(D17-Answer_Key!D23)&lt;0.001),"✓","✗")</f>
        <v/>
      </c>
    </row>
    <row r="18">
      <c r="B18" s="19" t="n"/>
      <c r="C18" s="19" t="n"/>
      <c r="D18" s="19" t="n"/>
      <c r="F18">
        <f>IF(AND(ABS(B18-Answer_Key!B24)&lt;0.001,ABS(C18-Answer_Key!C24)&lt;0.001,ABS(D18-Answer_Key!D24)&lt;0.001),"✓","✗")</f>
        <v/>
      </c>
    </row>
    <row r="19">
      <c r="B19" s="19" t="n"/>
      <c r="C19" s="19" t="n"/>
      <c r="D19" s="19" t="n"/>
      <c r="F19">
        <f>IF(AND(ABS(B19-Answer_Key!B25)&lt;0.001,ABS(C19-Answer_Key!C25)&lt;0.001,ABS(D19-Answer_Key!D25)&lt;0.001),"✓","✗")</f>
        <v/>
      </c>
    </row>
    <row r="20"/>
    <row r="21"/>
    <row r="22">
      <c r="A22" s="17" t="inlineStr">
        <is>
          <t>▶ 2. Matrix multiplication (A × B) - Step by step</t>
        </is>
      </c>
    </row>
    <row r="23">
      <c r="A23" s="18" t="inlineStr">
        <is>
          <t>Formula: (AB)ᵢⱼ = Σₖ Aᵢₖ × Bₖⱼ (dot product of A's row i and B's column j)</t>
        </is>
      </c>
    </row>
    <row r="24"/>
    <row r="25">
      <c r="A25" s="13" t="inlineStr">
        <is>
          <t>(AB)₁₁ calculation:</t>
        </is>
      </c>
    </row>
    <row r="26">
      <c r="A26" s="23" t="inlineStr">
        <is>
          <t>Row 1 of A:</t>
        </is>
      </c>
      <c r="B26" s="23" t="inlineStr">
        <is>
          <t>[1, 2, 0]</t>
        </is>
      </c>
    </row>
    <row r="27">
      <c r="A27" s="24" t="inlineStr">
        <is>
          <t>Column 1 of B:</t>
        </is>
      </c>
      <c r="B27" s="24" t="inlineStr">
        <is>
          <t>[2, 1, 0]</t>
        </is>
      </c>
    </row>
    <row r="28">
      <c r="A28" t="inlineStr">
        <is>
          <t>Dot product:</t>
        </is>
      </c>
      <c r="B28" s="18" t="inlineStr">
        <is>
          <t>1×2 + 2×1 + 0×0 =</t>
        </is>
      </c>
      <c r="G28" s="20" t="n"/>
      <c r="H28">
        <f>IF(ABS(G28-Answer_Key!B28)&lt;0.001,"✓","✗")</f>
        <v/>
      </c>
    </row>
    <row r="29"/>
    <row r="30">
      <c r="A30" s="13" t="inlineStr">
        <is>
          <t>A × B =</t>
        </is>
      </c>
      <c r="B30" s="19" t="n"/>
      <c r="C30" s="19" t="n"/>
      <c r="D30" s="19" t="n"/>
      <c r="F30">
        <f>IF(AND(ABS(B30-Answer_Key!B30)&lt;0.001,ABS(C30-Answer_Key!C30)&lt;0.001,ABS(D30-Answer_Key!D30)&lt;0.001),"✓","✗")</f>
        <v/>
      </c>
    </row>
    <row r="31">
      <c r="B31" s="19" t="n"/>
      <c r="C31" s="19" t="n"/>
      <c r="D31" s="19" t="n"/>
      <c r="F31">
        <f>IF(AND(ABS(B31-Answer_Key!B31)&lt;0.001,ABS(C31-Answer_Key!C31)&lt;0.001,ABS(D31-Answer_Key!D31)&lt;0.001),"✓","✗")</f>
        <v/>
      </c>
    </row>
    <row r="32">
      <c r="B32" s="19" t="n"/>
      <c r="C32" s="19" t="n"/>
      <c r="D32" s="19" t="n"/>
      <c r="F32">
        <f>IF(AND(ABS(B32-Answer_Key!B32)&lt;0.001,ABS(C32-Answer_Key!C32)&lt;0.001,ABS(D32-Answer_Key!D32)&lt;0.001),"✓","✗")</f>
        <v/>
      </c>
    </row>
    <row r="33"/>
    <row r="34"/>
    <row r="35">
      <c r="A35" s="17" t="inlineStr">
        <is>
          <t>▶ 3. Transpose matrix (Aᵀ)</t>
        </is>
      </c>
    </row>
    <row r="36">
      <c r="A36" s="18" t="inlineStr">
        <is>
          <t>Formula: (Aᵀ)ᵢⱼ = Aⱼᵢ (swap rows and columns)</t>
        </is>
      </c>
    </row>
    <row r="37">
      <c r="A37" t="inlineStr">
        <is>
          <t>Aᵀ =</t>
        </is>
      </c>
      <c r="B37" s="19" t="n"/>
      <c r="C37" s="19" t="n"/>
      <c r="D37" s="19" t="n"/>
      <c r="F37">
        <f>IF(AND(ABS(B37-Answer_Key!B35)&lt;0.001,ABS(C37-Answer_Key!C35)&lt;0.001,ABS(D37-Answer_Key!D35)&lt;0.001),"✓","✗")</f>
        <v/>
      </c>
    </row>
    <row r="38">
      <c r="B38" s="19" t="n"/>
      <c r="C38" s="19" t="n"/>
      <c r="D38" s="19" t="n"/>
      <c r="F38">
        <f>IF(AND(ABS(B38-Answer_Key!B36)&lt;0.001,ABS(C38-Answer_Key!C36)&lt;0.001,ABS(D38-Answer_Key!D36)&lt;0.001),"✓","✗")</f>
        <v/>
      </c>
    </row>
    <row r="39">
      <c r="B39" s="19" t="n"/>
      <c r="C39" s="19" t="n"/>
      <c r="D39" s="19" t="n"/>
      <c r="F39">
        <f>IF(AND(ABS(B39-Answer_Key!B37)&lt;0.001,ABS(C39-Answer_Key!C37)&lt;0.001,ABS(D39-Answer_Key!D37)&lt;0.001),"✓","✗")</f>
        <v/>
      </c>
    </row>
    <row r="40"/>
    <row r="41"/>
    <row r="42">
      <c r="A42" s="17" t="inlineStr">
        <is>
          <t>▶ 4. Determinant det(A) - 3×3</t>
        </is>
      </c>
    </row>
    <row r="43">
      <c r="A43" s="18" t="inlineStr">
        <is>
          <t>Use Sarrus' rule or cofactor expansion</t>
        </is>
      </c>
    </row>
    <row r="44">
      <c r="A44" t="inlineStr">
        <is>
          <t>Sum of main diagonal products:</t>
        </is>
      </c>
      <c r="C44" s="18" t="inlineStr">
        <is>
          <t>1×1×2 + 2×1×0 + 0×3×1</t>
        </is>
      </c>
    </row>
    <row r="45">
      <c r="A45" t="inlineStr">
        <is>
          <t>Sum of anti-diagonal products:</t>
        </is>
      </c>
      <c r="C45" s="18" t="inlineStr">
        <is>
          <t>0×1×0 + 1×1×1 + 2×3×2</t>
        </is>
      </c>
    </row>
    <row r="46">
      <c r="A46" s="13" t="inlineStr">
        <is>
          <t>det(A) =</t>
        </is>
      </c>
      <c r="C46" s="20" t="n"/>
      <c r="E46">
        <f>IF(ABS(C46-Answer_Key!B40)&lt;0.001,"✓","✗")</f>
        <v/>
      </c>
    </row>
    <row r="47"/>
    <row r="48">
      <c r="A48" s="17" t="inlineStr">
        <is>
          <t>▶ 5. 2×2 Inverse matrix</t>
        </is>
      </c>
    </row>
    <row r="49">
      <c r="A49" s="13" t="inlineStr">
        <is>
          <t>Matrix M =</t>
        </is>
      </c>
      <c r="B49" s="21" t="n">
        <v>4</v>
      </c>
      <c r="C49" s="21" t="n">
        <v>2</v>
      </c>
    </row>
    <row r="50">
      <c r="B50" s="21" t="n">
        <v>1</v>
      </c>
      <c r="C50" s="21" t="n">
        <v>3</v>
      </c>
    </row>
    <row r="51"/>
    <row r="52">
      <c r="A52" s="18" t="inlineStr">
        <is>
          <t>Formula:</t>
        </is>
      </c>
      <c r="B52" s="18" t="inlineStr">
        <is>
          <t>M⁻¹ = (1/det) × [d, -b; -c, a]</t>
        </is>
      </c>
    </row>
    <row r="53">
      <c r="A53" t="inlineStr">
        <is>
          <t>det(M) =</t>
        </is>
      </c>
      <c r="B53" s="18" t="inlineStr">
        <is>
          <t>4×3 - 2×1 =</t>
        </is>
      </c>
      <c r="E53" s="20" t="n"/>
      <c r="G53">
        <f>IF(ABS(E53-Answer_Key!B44)&lt;0.001,"✓","✗")</f>
        <v/>
      </c>
    </row>
    <row r="54"/>
    <row r="55">
      <c r="A55" t="inlineStr">
        <is>
          <t>M⁻¹ =</t>
        </is>
      </c>
      <c r="B55" s="19" t="n"/>
      <c r="C55" s="19" t="n"/>
      <c r="E55">
        <f>IF(AND(ABS(B55-Answer_Key!B46)&lt;0.001,ABS(C55-Answer_Key!C46)&lt;0.001),"✓","✗")</f>
        <v/>
      </c>
    </row>
    <row r="56">
      <c r="B56" s="19" t="n"/>
      <c r="C56" s="19" t="n"/>
      <c r="E56">
        <f>IF(AND(ABS(B56-Answer_Key!B47)&lt;0.001,ABS(C56-Answer_Key!C47)&lt;0.001),"✓","✗")</f>
        <v/>
      </c>
    </row>
  </sheetData>
  <conditionalFormatting sqref="F1:F100">
    <cfRule type="expression" priority="1" dxfId="0">
      <formula>F1="✓"</formula>
    </cfRule>
    <cfRule type="expression" priority="2" dxfId="1">
      <formula>F1="✗"</formula>
    </cfRule>
  </conditionalFormatting>
  <conditionalFormatting sqref="G1:G100">
    <cfRule type="expression" priority="1" dxfId="0">
      <formula>F1="✓"</formula>
    </cfRule>
    <cfRule type="expression" priority="2" dxfId="1">
      <formula>F1="✗"</formula>
    </cfRule>
  </conditionalFormatting>
  <conditionalFormatting sqref="H1:H100">
    <cfRule type="expression" priority="1" dxfId="0">
      <formula>F1="✓"</formula>
    </cfRule>
    <cfRule type="expression" priority="2" dxfId="1">
      <formula>F1="✗"</formula>
    </cfRule>
  </conditionalFormatting>
  <conditionalFormatting sqref="L1:L100">
    <cfRule type="expression" priority="1" dxfId="0">
      <formula>F1="✓"</formula>
    </cfRule>
    <cfRule type="expression" priority="2" dxfId="1">
      <formula>F1="✗"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Eigenvalue &amp; Eigenvector</t>
        </is>
      </c>
    </row>
    <row r="2"/>
    <row r="3">
      <c r="A3" s="13" t="inlineStr">
        <is>
          <t>Progress:</t>
        </is>
      </c>
      <c r="B3">
        <f>COUNTIF(F:F,"✓")/8*100&amp;"%"</f>
        <v/>
      </c>
    </row>
    <row r="4"/>
    <row r="5">
      <c r="A5" s="4">
        <f>== Concept Review ===</f>
        <v/>
      </c>
    </row>
    <row r="6">
      <c r="A6" s="18" t="inlineStr">
        <is>
          <t>Eigenvalue definition:</t>
        </is>
      </c>
      <c r="B6" s="18" t="inlineStr">
        <is>
          <t>Av = λv (Matrix A scales vector v by λ)</t>
        </is>
      </c>
    </row>
    <row r="7">
      <c r="A7" s="18" t="inlineStr">
        <is>
          <t>Characteristic equation:</t>
        </is>
      </c>
      <c r="B7" s="18" t="inlineStr">
        <is>
          <t>det(A - λI) = 0</t>
        </is>
      </c>
    </row>
    <row r="8"/>
    <row r="9">
      <c r="A9" s="4">
        <f>== 2×2 Matrix M ===</f>
        <v/>
      </c>
    </row>
    <row r="10">
      <c r="A10" s="13" t="inlineStr">
        <is>
          <t>Matrix M =</t>
        </is>
      </c>
      <c r="B10" s="25" t="n">
        <v>4</v>
      </c>
      <c r="C10" s="25" t="n">
        <v>2</v>
      </c>
    </row>
    <row r="11">
      <c r="B11" s="25" t="n">
        <v>1</v>
      </c>
      <c r="C11" s="25" t="n">
        <v>3</v>
      </c>
    </row>
    <row r="12"/>
    <row r="13"/>
    <row r="14">
      <c r="A14" s="17" t="inlineStr">
        <is>
          <t>▶ Step 1: Characteristic equation</t>
        </is>
      </c>
    </row>
    <row r="15">
      <c r="A15" s="18" t="inlineStr">
        <is>
          <t>M - λI =</t>
        </is>
      </c>
      <c r="B15" s="18" t="inlineStr">
        <is>
          <t>[4-λ, 2; 1, 3-λ]</t>
        </is>
      </c>
    </row>
    <row r="16"/>
    <row r="17">
      <c r="A17" s="18" t="inlineStr">
        <is>
          <t>det(M - λI) = 0:</t>
        </is>
      </c>
    </row>
    <row r="18">
      <c r="A18" t="inlineStr">
        <is>
          <t>Expanding:</t>
        </is>
      </c>
      <c r="B18" s="18" t="inlineStr">
        <is>
          <t>(4-λ)(3-λ) - (2)(1) = 0</t>
        </is>
      </c>
    </row>
    <row r="19">
      <c r="A19" t="inlineStr">
        <is>
          <t>Summarizing:</t>
        </is>
      </c>
      <c r="B19" s="18" t="inlineStr">
        <is>
          <t>λ² - (trace)λ + det = 0</t>
        </is>
      </c>
    </row>
    <row r="20"/>
    <row r="21">
      <c r="A21" s="18" t="inlineStr">
        <is>
          <t>trace(M) = 4 + 3 =</t>
        </is>
      </c>
      <c r="D21" s="20" t="n"/>
      <c r="F21">
        <f>IF(ABS(D21-Answer_Key!B52)&lt;0.001,"✓","✗")</f>
        <v/>
      </c>
    </row>
    <row r="22">
      <c r="A22" s="18" t="inlineStr">
        <is>
          <t>det(M) = 4×3 - 2×1 =</t>
        </is>
      </c>
      <c r="D22" s="20" t="n"/>
      <c r="F22">
        <f>IF(ABS(D22-Answer_Key!B53)&lt;0.001,"✓","✗")</f>
        <v/>
      </c>
    </row>
    <row r="23"/>
    <row r="24">
      <c r="A24" s="17" t="inlineStr">
        <is>
          <t>▶ Step 2: Calculate eigenvalues</t>
        </is>
      </c>
    </row>
    <row r="25">
      <c r="A25" s="18" t="inlineStr">
        <is>
          <t>Characteristic equation:</t>
        </is>
      </c>
      <c r="B25" s="18" t="inlineStr">
        <is>
          <t>λ² - 7λ + 10 = 0</t>
        </is>
      </c>
    </row>
    <row r="26">
      <c r="A26" s="18" t="inlineStr">
        <is>
          <t>Quadratic formula:</t>
        </is>
      </c>
      <c r="B26" s="18" t="inlineStr">
        <is>
          <t>λ = [trace ± √(trace² - 4×det)] / 2</t>
        </is>
      </c>
    </row>
    <row r="27"/>
    <row r="28">
      <c r="A28" t="inlineStr">
        <is>
          <t>Discriminant = trace² - 4×det =</t>
        </is>
      </c>
      <c r="C28" s="18" t="inlineStr">
        <is>
          <t>7² - 4×10 =</t>
        </is>
      </c>
      <c r="E28" s="20" t="n"/>
      <c r="F28">
        <f>IF(ABS(E28-Answer_Key!B56)&lt;0.001,"✓","✗")</f>
        <v/>
      </c>
    </row>
    <row r="29"/>
    <row r="30">
      <c r="A30" s="13" t="inlineStr">
        <is>
          <t>Eigenvalue λ₁ =</t>
        </is>
      </c>
      <c r="C30" s="20" t="n"/>
      <c r="F30">
        <f>IF(ABS(C30-Answer_Key!B58)&lt;0.001,"✓","✗")</f>
        <v/>
      </c>
    </row>
    <row r="31">
      <c r="A31" s="13" t="inlineStr">
        <is>
          <t>Eigenvalue λ₂ =</t>
        </is>
      </c>
      <c r="C31" s="20" t="n"/>
      <c r="F31">
        <f>IF(ABS(C31-Answer_Key!B59)&lt;0.001,"✓","✗")</f>
        <v/>
      </c>
    </row>
    <row r="32"/>
    <row r="33">
      <c r="A33" s="17" t="inlineStr">
        <is>
          <t>▶ Step 3: Verification</t>
        </is>
      </c>
    </row>
    <row r="34">
      <c r="A34" s="18" t="inlineStr">
        <is>
          <t>Is trace(M) = λ₁ + λ₂?</t>
        </is>
      </c>
    </row>
    <row r="35">
      <c r="A35" s="18" t="inlineStr">
        <is>
          <t>Is det(M) = λ₁ × λ₂?</t>
        </is>
      </c>
    </row>
    <row r="36"/>
    <row r="37">
      <c r="A37" s="17" t="inlineStr">
        <is>
          <t>▶ Step 4: Eigenvector (for λ₁)</t>
        </is>
      </c>
    </row>
    <row r="38">
      <c r="A38" s="18" t="inlineStr">
        <is>
          <t>Solve (M - λ₁I)v = 0</t>
        </is>
      </c>
    </row>
    <row r="39"/>
    <row r="40">
      <c r="A40" s="18" t="inlineStr">
        <is>
          <t>M - λ₁I =</t>
        </is>
      </c>
      <c r="B40" s="18" t="inlineStr">
        <is>
          <t>[4-5, 2; 1, 3-5]</t>
        </is>
      </c>
    </row>
    <row r="41">
      <c r="B41" s="26">
        <f> [-1, 2; 1, -2]</f>
        <v/>
      </c>
    </row>
    <row r="42"/>
    <row r="43">
      <c r="A43" s="18" t="inlineStr">
        <is>
          <t>Hint:</t>
        </is>
      </c>
      <c r="B43" s="18" t="inlineStr">
        <is>
          <t>From first row: (M₁₁-λ₁)v₁ + M₁₂v₂ = 0</t>
        </is>
      </c>
    </row>
    <row r="44">
      <c r="B44" s="18" t="inlineStr">
        <is>
          <t>Setting v₂ = 1, v₁ = -M₁₂/(M₁₁-λ₁)</t>
        </is>
      </c>
    </row>
    <row r="45"/>
    <row r="46">
      <c r="A46" s="13" t="inlineStr">
        <is>
          <t>Eigenvector v₁ =</t>
        </is>
      </c>
      <c r="B46" s="14" t="inlineStr">
        <is>
          <t>[</t>
        </is>
      </c>
      <c r="C46" s="20" t="n"/>
      <c r="D46" s="20" t="n"/>
      <c r="E46" s="14" t="inlineStr">
        <is>
          <t>]</t>
        </is>
      </c>
      <c r="F46">
        <f>IF(ABS(C46/D46-Answer_Key!B65/Answer_Key!C65)&lt;0.1,"✓","✗")</f>
        <v/>
      </c>
    </row>
  </sheetData>
  <conditionalFormatting sqref="F1:F100">
    <cfRule type="expression" priority="1" dxfId="0">
      <formula>F1="✓"</formula>
    </cfRule>
    <cfRule type="expression" priority="2" dxfId="1">
      <formula>F1="✗"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Answer Key - Linear Algebra</t>
        </is>
      </c>
    </row>
    <row r="2"/>
    <row r="3">
      <c r="A3" s="4">
        <f>== Vector Operations ===</f>
        <v/>
      </c>
    </row>
    <row r="4">
      <c r="A4" t="inlineStr">
        <is>
          <t>u + v</t>
        </is>
      </c>
      <c r="B4" t="n">
        <v>4</v>
      </c>
      <c r="C4" t="n">
        <v>6</v>
      </c>
      <c r="D4" t="n">
        <v>2</v>
      </c>
    </row>
    <row r="5">
      <c r="A5" t="inlineStr">
        <is>
          <t>u - v</t>
        </is>
      </c>
      <c r="B5" t="n">
        <v>2</v>
      </c>
      <c r="C5" t="n">
        <v>2</v>
      </c>
      <c r="D5" t="n">
        <v>-2</v>
      </c>
    </row>
    <row r="6">
      <c r="A6" t="inlineStr">
        <is>
          <t>2 × u</t>
        </is>
      </c>
      <c r="B6" t="n">
        <v>6</v>
      </c>
      <c r="C6" t="n">
        <v>8</v>
      </c>
      <c r="D6" t="n">
        <v>0</v>
      </c>
    </row>
    <row r="7"/>
    <row r="8">
      <c r="A8" t="inlineStr">
        <is>
          <t>u₁×v₁</t>
        </is>
      </c>
      <c r="B8" t="n">
        <v>3</v>
      </c>
    </row>
    <row r="9">
      <c r="A9" t="inlineStr">
        <is>
          <t>u₂×v₂</t>
        </is>
      </c>
      <c r="B9" t="n">
        <v>8</v>
      </c>
    </row>
    <row r="10">
      <c r="A10" t="inlineStr">
        <is>
          <t>u₃×v₃</t>
        </is>
      </c>
      <c r="B10" t="n">
        <v>0</v>
      </c>
    </row>
    <row r="11">
      <c r="A11" t="inlineStr">
        <is>
          <t>u · v</t>
        </is>
      </c>
      <c r="B11" t="n">
        <v>11</v>
      </c>
    </row>
    <row r="12"/>
    <row r="13">
      <c r="A13" t="inlineStr">
        <is>
          <t>||u||</t>
        </is>
      </c>
      <c r="B13" t="n">
        <v>5</v>
      </c>
    </row>
    <row r="14">
      <c r="A14" t="inlineStr">
        <is>
          <t>||v||</t>
        </is>
      </c>
      <c r="B14" t="n">
        <v>3</v>
      </c>
    </row>
    <row r="15"/>
    <row r="16">
      <c r="A16" t="inlineStr">
        <is>
          <t>cos(θ)</t>
        </is>
      </c>
      <c r="B16" t="n">
        <v>0.7333</v>
      </c>
    </row>
    <row r="17">
      <c r="A17" t="inlineStr">
        <is>
          <t>θ (degrees)</t>
        </is>
      </c>
      <c r="B17" t="n">
        <v>42.83</v>
      </c>
    </row>
    <row r="18"/>
    <row r="19">
      <c r="A19" t="inlineStr">
        <is>
          <t>Scalar coefficient</t>
        </is>
      </c>
      <c r="B19" t="n">
        <v>0.44</v>
      </c>
    </row>
    <row r="20">
      <c r="A20" t="inlineStr">
        <is>
          <t>proj_u(v)</t>
        </is>
      </c>
      <c r="B20" t="n">
        <v>1.32</v>
      </c>
      <c r="C20" t="n">
        <v>1.76</v>
      </c>
      <c r="D20" t="n">
        <v>0</v>
      </c>
    </row>
    <row r="21"/>
    <row r="22"/>
    <row r="23">
      <c r="A23" s="4">
        <f>== Matrix Operations ===</f>
        <v/>
      </c>
    </row>
    <row r="24">
      <c r="A24" t="inlineStr">
        <is>
          <t>A + B</t>
        </is>
      </c>
      <c r="B24" t="n">
        <v>3</v>
      </c>
      <c r="C24" t="n">
        <v>2</v>
      </c>
      <c r="D24" t="n">
        <v>1</v>
      </c>
    </row>
    <row r="25">
      <c r="B25" t="n">
        <v>4</v>
      </c>
      <c r="C25" t="n">
        <v>4</v>
      </c>
      <c r="D25" t="n">
        <v>1</v>
      </c>
    </row>
    <row r="26">
      <c r="B26" t="n">
        <v>0</v>
      </c>
      <c r="C26" t="n">
        <v>2</v>
      </c>
      <c r="D26" t="n">
        <v>4</v>
      </c>
    </row>
    <row r="27"/>
    <row r="28">
      <c r="A28" t="inlineStr">
        <is>
          <t>(AB)₁₁</t>
        </is>
      </c>
      <c r="B28" t="n">
        <v>4</v>
      </c>
    </row>
    <row r="29"/>
    <row r="30">
      <c r="A30" t="inlineStr">
        <is>
          <t>A × B</t>
        </is>
      </c>
      <c r="B30" t="n">
        <v>4</v>
      </c>
      <c r="C30" t="n">
        <v>6</v>
      </c>
      <c r="D30" t="n">
        <v>1</v>
      </c>
    </row>
    <row r="31">
      <c r="B31" t="n">
        <v>7</v>
      </c>
      <c r="C31" t="n">
        <v>4</v>
      </c>
      <c r="D31" t="n">
        <v>5</v>
      </c>
    </row>
    <row r="32">
      <c r="B32" t="n">
        <v>1</v>
      </c>
      <c r="C32" t="n">
        <v>5</v>
      </c>
      <c r="D32" t="n">
        <v>4</v>
      </c>
    </row>
    <row r="33"/>
    <row r="34">
      <c r="A34" t="inlineStr">
        <is>
          <t>Aᵀ</t>
        </is>
      </c>
      <c r="B34" t="n">
        <v>1</v>
      </c>
      <c r="C34" t="n">
        <v>3</v>
      </c>
      <c r="D34" t="n">
        <v>0</v>
      </c>
    </row>
    <row r="35">
      <c r="B35" t="n">
        <v>2</v>
      </c>
      <c r="C35" t="n">
        <v>1</v>
      </c>
      <c r="D35" t="n">
        <v>1</v>
      </c>
    </row>
    <row r="36">
      <c r="B36" t="n">
        <v>0</v>
      </c>
      <c r="C36" t="n">
        <v>1</v>
      </c>
      <c r="D36" t="n">
        <v>2</v>
      </c>
    </row>
    <row r="37"/>
    <row r="38">
      <c r="A38" t="inlineStr">
        <is>
          <t>det(A)</t>
        </is>
      </c>
      <c r="B38" t="n">
        <v>-11</v>
      </c>
    </row>
    <row r="39"/>
    <row r="40"/>
    <row r="41">
      <c r="A41" s="4">
        <f>== 2×2 Inverse ===</f>
        <v/>
      </c>
    </row>
    <row r="42">
      <c r="A42" t="inlineStr">
        <is>
          <t>det(M)</t>
        </is>
      </c>
      <c r="B42" t="n">
        <v>10</v>
      </c>
    </row>
    <row r="43"/>
    <row r="44">
      <c r="A44" t="inlineStr">
        <is>
          <t>M⁻¹</t>
        </is>
      </c>
      <c r="B44" t="n">
        <v>0.3</v>
      </c>
      <c r="C44" t="n">
        <v>-0.2</v>
      </c>
    </row>
    <row r="45">
      <c r="B45" t="n">
        <v>-0.1</v>
      </c>
      <c r="C45" t="n">
        <v>0.4</v>
      </c>
    </row>
    <row r="46"/>
    <row r="47"/>
    <row r="48">
      <c r="A48" s="4">
        <f>== Eigenvalue ===</f>
        <v/>
      </c>
    </row>
    <row r="49">
      <c r="A49" t="inlineStr">
        <is>
          <t>trace(M)</t>
        </is>
      </c>
      <c r="B49" t="n">
        <v>7</v>
      </c>
    </row>
    <row r="50">
      <c r="A50" t="inlineStr">
        <is>
          <t>det(M)</t>
        </is>
      </c>
      <c r="B50" t="n">
        <v>10</v>
      </c>
    </row>
    <row r="51"/>
    <row r="52"/>
    <row r="53">
      <c r="A53" t="inlineStr">
        <is>
          <t>Discriminant</t>
        </is>
      </c>
      <c r="B53" t="n">
        <v>9</v>
      </c>
    </row>
    <row r="54"/>
    <row r="55">
      <c r="A55" t="inlineStr">
        <is>
          <t>λ₁</t>
        </is>
      </c>
      <c r="B55" t="n">
        <v>5</v>
      </c>
    </row>
    <row r="56">
      <c r="A56" t="inlineStr">
        <is>
          <t>λ₂</t>
        </is>
      </c>
      <c r="B56" t="n">
        <v>2</v>
      </c>
    </row>
    <row r="57"/>
    <row r="58"/>
    <row r="59"/>
    <row r="60"/>
    <row r="61">
      <c r="A61" t="inlineStr">
        <is>
          <t>Eigenvector v₁</t>
        </is>
      </c>
      <c r="B61" t="n">
        <v>0.8944</v>
      </c>
      <c r="C61" t="n">
        <v>0.4472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2026-01-20T07:58:59Z</dcterms:created>
  <dcterms:modified xmlns:dcterms="http://purl.org/dc/terms/" xmlns:xsi="http://www.w3.org/2001/XMLSchema-instance" xsi:type="dcterms:W3CDTF">2026-01-20T08:28:59Z</dcterms:modified>
</cp:coreProperties>
</file>