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Instructions" sheetId="1" state="visible" r:id="rId1"/>
    <sheet xmlns:r="http://schemas.openxmlformats.org/officeDocument/2006/relationships" name="Vector_Operations" sheetId="2" state="visible" r:id="rId2"/>
    <sheet xmlns:r="http://schemas.openxmlformats.org/officeDocument/2006/relationships" name="Matrix_Operations" sheetId="3" state="visible" r:id="rId3"/>
    <sheet xmlns:r="http://schemas.openxmlformats.org/officeDocument/2006/relationships" name="Eigenvalue_Eigenvector" sheetId="4" state="visible" r:id="rId4"/>
    <sheet xmlns:r="http://schemas.openxmlformats.org/officeDocument/2006/relationships" name="Answer_Key" sheetId="5" state="visible" r:id="rId5"/>
  </sheets>
  <definedNames/>
  <calcPr calcId="124519" fullCalcOnLoad="1"/>
</workbook>
</file>

<file path=xl/sharedStrings.xml><?xml version="1.0" encoding="utf-8"?>
<sst xmlns="http://schemas.openxmlformats.org/spreadsheetml/2006/main" uniqueCount="172">
  <si>
    <t>Basic Linear Algebra Calculation Practice Worksheet</t>
  </si>
  <si>
    <t>Lecture 03 Part 1: Mathematical Foundations</t>
  </si>
  <si>
    <t>[Learning Objectives]</t>
  </si>
  <si>
    <t>1. Understand basic vector operations (addition, scalar multiplication, dot product)</t>
  </si>
  <si>
    <t>2. Calculate vector norm (length) and angle</t>
  </si>
  <si>
    <t>3. Understand matrix multiplication principle (row × column)</t>
  </si>
  <si>
    <t>4. Calculate determinant and inverse matrix</t>
  </si>
  <si>
    <t>5. Meaning and calculation of eigenvalues and eigenvectors</t>
  </si>
  <si>
    <t>[Key Formulas - Vector]</t>
  </si>
  <si>
    <t>• Dot Product:  u · v = Σ uᵢvᵢ = u₁v₁ + u₂v₂ + ... + uₙvₙ</t>
  </si>
  <si>
    <t>• Norm:  ||u|| = √(u · u) = √(u₁² + u₂² + ... + uₙ²)</t>
  </si>
  <si>
    <t>• Angle between vectors: cos(θ) = (u · v) / (||u|| × ||v||)</t>
  </si>
  <si>
    <t>• Projection:  proj_u(v) = [(v · u) / (u · u)] × u</t>
  </si>
  <si>
    <t>[Key Formulas - Matrix]</t>
  </si>
  <si>
    <t>• Matrix multiplication: (AB)ᵢⱼ = Σₖ Aᵢₖ × Bₖⱼ (dot product of A's row i and B's column j)</t>
  </si>
  <si>
    <t>• Transpose matrix: (Aᵀ)ᵢⱼ = Aⱼᵢ (swap rows and columns)</t>
  </si>
  <si>
    <t>• 2×2 determinant: det[a b; c d] = ad - bc</t>
  </si>
  <si>
    <t>• 3×3 determinant: Sarrus' rule or cofactor expansion</t>
  </si>
  <si>
    <t>• 2×2 inverse: A⁻¹ = (1/det(A)) × [d -b; -c a]</t>
  </si>
  <si>
    <t>[Key Formulas - Eigenvalue]</t>
  </si>
  <si>
    <t>• Eigenvalue definition: Av = λv (A scales v by λ)</t>
  </si>
  <si>
    <t>• Characteristic equation: det(A - λI) = 0</t>
  </si>
  <si>
    <t>• 2×2 characteristic equation: λ² - (a+d)λ + (ad-bc) = 0</t>
  </si>
  <si>
    <t>• trace(A) = λ₁ + λ₂,  det(A) = λ₁ × λ₂</t>
  </si>
  <si>
    <t>[Color Legend]</t>
  </si>
  <si>
    <t xml:space="preserve">  ■ Vector/Matrix A</t>
  </si>
  <si>
    <t xml:space="preserve">  ■ Vector/Matrix B</t>
  </si>
  <si>
    <t xml:space="preserve">  ■ Intermediate calculation</t>
  </si>
  <si>
    <t xml:space="preserve">  ■ Result</t>
  </si>
  <si>
    <t xml:space="preserve">  ■ Student input cell</t>
  </si>
  <si>
    <t xml:space="preserve">  ■ Answer</t>
  </si>
  <si>
    <t xml:space="preserve">  ■ Wrong</t>
  </si>
  <si>
    <t>[How to Use]</t>
  </si>
  <si>
    <t>1. Enter calculation results in yellow cells in each sheet</t>
  </si>
  <si>
    <t>2. Check ✓(correct) or ✗(wrong) in verification cells</t>
  </si>
  <si>
    <t>3. Tolerance: 0.001 (up to 3 decimal places)</t>
  </si>
  <si>
    <t>4. Remember matrix multiplication follows 'row × column' order!</t>
  </si>
  <si>
    <t>Vector Operations</t>
  </si>
  <si>
    <t>Progress:</t>
  </si>
  <si>
    <t>Vector u =</t>
  </si>
  <si>
    <t>[</t>
  </si>
  <si>
    <t>]</t>
  </si>
  <si>
    <t>Vector v =</t>
  </si>
  <si>
    <t>▶ 1. Vector addition (u + v)</t>
  </si>
  <si>
    <t>Formula:</t>
  </si>
  <si>
    <t>[u₁+v₁, u₂+v₂, u₃+v₃]</t>
  </si>
  <si>
    <t>u + v =</t>
  </si>
  <si>
    <t>▶ 2. Vector subtraction (u - v)</t>
  </si>
  <si>
    <t>[u₁-v₁, u₂-v₂, u₃-v₃]</t>
  </si>
  <si>
    <t>u - v =</t>
  </si>
  <si>
    <t>▶ 3. Scalar multiplication (2 × u)</t>
  </si>
  <si>
    <t>[c×u₁, c×u₂, c×u₃]</t>
  </si>
  <si>
    <t>2 × u =</t>
  </si>
  <si>
    <t>▶ 4. Dot product (u · v)</t>
  </si>
  <si>
    <t>u₁v₁ + u₂v₂ + u₃v₃</t>
  </si>
  <si>
    <t>Step 1:</t>
  </si>
  <si>
    <t>u₁×v₁ = 3×1 =</t>
  </si>
  <si>
    <t>Step 2:</t>
  </si>
  <si>
    <t>u₂×v₂ = 4×2 =</t>
  </si>
  <si>
    <t>Step 3:</t>
  </si>
  <si>
    <t>u₃×v₃ = 0×2 =</t>
  </si>
  <si>
    <t>Total:</t>
  </si>
  <si>
    <t>u · v =</t>
  </si>
  <si>
    <t>▶ 5. Norm (||u||, ||v||)</t>
  </si>
  <si>
    <t>||u|| = √(u₁² + u₂² + u₃²)</t>
  </si>
  <si>
    <t>||u|| calculation:</t>
  </si>
  <si>
    <t>√(3² + 4² + 0²) = √(9 + 16 + 0) =</t>
  </si>
  <si>
    <t>||v|| calculation:</t>
  </si>
  <si>
    <t>√(1² + 2² + 2²) = √(1 + 4 + 4) =</t>
  </si>
  <si>
    <t>▶ 6. Angle between vectors</t>
  </si>
  <si>
    <t>cos(θ) = (u · v) / (||u|| × ||v||)</t>
  </si>
  <si>
    <t>cos(θ) =</t>
  </si>
  <si>
    <t>(u · v) / (||u|| × ||v||) =</t>
  </si>
  <si>
    <t>θ (degrees) =</t>
  </si>
  <si>
    <t>arccos(cos(θ)) × (180/π) =</t>
  </si>
  <si>
    <t>▶ 7. Projection (project v onto u)</t>
  </si>
  <si>
    <t>proj_u(v) = [(v · u) / (u · u)] × u</t>
  </si>
  <si>
    <t>Scalar coefficient:</t>
  </si>
  <si>
    <t>(v · u) / (u · u) =</t>
  </si>
  <si>
    <t>proj_u(v) =</t>
  </si>
  <si>
    <t>Matrix Operations</t>
  </si>
  <si>
    <t>Matrix A =</t>
  </si>
  <si>
    <t>Matrix B =</t>
  </si>
  <si>
    <t>▶ 1. Matrix addition (A + B)</t>
  </si>
  <si>
    <t>Formula: Add elements at same positions</t>
  </si>
  <si>
    <t>A + B =</t>
  </si>
  <si>
    <t>▶ 2. Matrix multiplication (A × B) - Step by step</t>
  </si>
  <si>
    <t>Formula: (AB)ᵢⱼ = Σₖ Aᵢₖ × Bₖⱼ (dot product of A's row i and B's column j)</t>
  </si>
  <si>
    <t>(AB)₁₁ calculation:</t>
  </si>
  <si>
    <t>Row 1 of A:</t>
  </si>
  <si>
    <t>[1, 2, 0]</t>
  </si>
  <si>
    <t>Column 1 of B:</t>
  </si>
  <si>
    <t>[2, 1, 0]</t>
  </si>
  <si>
    <t>Dot product:</t>
  </si>
  <si>
    <t>1×2 + 2×1 + 0×0 =</t>
  </si>
  <si>
    <t>A × B =</t>
  </si>
  <si>
    <t>▶ 3. Transpose matrix (Aᵀ)</t>
  </si>
  <si>
    <t>Formula: (Aᵀ)ᵢⱼ = Aⱼᵢ (swap rows and columns)</t>
  </si>
  <si>
    <t>Aᵀ =</t>
  </si>
  <si>
    <t>▶ 4. Determinant det(A) - 3×3</t>
  </si>
  <si>
    <t>Use Sarrus' rule or cofactor expansion</t>
  </si>
  <si>
    <t>Sum of main diagonal products:</t>
  </si>
  <si>
    <t>1×1×2 + 2×1×0 + 0×3×1</t>
  </si>
  <si>
    <t>Sum of anti-diagonal products:</t>
  </si>
  <si>
    <t>0×1×0 + 1×1×1 + 2×3×2</t>
  </si>
  <si>
    <t>det(A) =</t>
  </si>
  <si>
    <t>▶ 5. 2×2 Inverse matrix</t>
  </si>
  <si>
    <t>Matrix M =</t>
  </si>
  <si>
    <t>M⁻¹ = (1/det) × [d, -b; -c, a]</t>
  </si>
  <si>
    <t>det(M) =</t>
  </si>
  <si>
    <t>4×3 - 2×1 =</t>
  </si>
  <si>
    <t>M⁻¹ =</t>
  </si>
  <si>
    <t>Eigenvalue &amp; Eigenvector</t>
  </si>
  <si>
    <t>Eigenvalue definition:</t>
  </si>
  <si>
    <t>Av = λv (Matrix A scales vector v by λ)</t>
  </si>
  <si>
    <t>Characteristic equation:</t>
  </si>
  <si>
    <t>det(A - λI) = 0</t>
  </si>
  <si>
    <t>▶ Step 1: Characteristic equation</t>
  </si>
  <si>
    <t>M - λI =</t>
  </si>
  <si>
    <t>[4-λ, 2; 1, 3-λ]</t>
  </si>
  <si>
    <t>det(M - λI) = 0:</t>
  </si>
  <si>
    <t>Expanding:</t>
  </si>
  <si>
    <t>(4-λ)(3-λ) - (2)(1) = 0</t>
  </si>
  <si>
    <t>Summarizing:</t>
  </si>
  <si>
    <t>λ² - (trace)λ + det = 0</t>
  </si>
  <si>
    <t>trace(M) = 4 + 3 =</t>
  </si>
  <si>
    <t>det(M) = 4×3 - 2×1 =</t>
  </si>
  <si>
    <t>▶ Step 2: Calculate eigenvalues</t>
  </si>
  <si>
    <t>λ² - 7λ + 10 = 0</t>
  </si>
  <si>
    <t>Quadratic formula:</t>
  </si>
  <si>
    <t>λ = [trace ± √(trace² - 4×det)] / 2</t>
  </si>
  <si>
    <t>Discriminant = trace² - 4×det =</t>
  </si>
  <si>
    <t>7² - 4×10 =</t>
  </si>
  <si>
    <t>Eigenvalue λ₁ =</t>
  </si>
  <si>
    <t>Eigenvalue λ₂ =</t>
  </si>
  <si>
    <t>▶ Step 3: Verification</t>
  </si>
  <si>
    <t>Is trace(M) = λ₁ + λ₂?</t>
  </si>
  <si>
    <t>Is det(M) = λ₁ × λ₂?</t>
  </si>
  <si>
    <t>▶ Step 4: Eigenvector (for λ₁)</t>
  </si>
  <si>
    <t>Solve (M - λ₁I)v = 0</t>
  </si>
  <si>
    <t>M - λ₁I =</t>
  </si>
  <si>
    <t>[4-5, 2; 1, 3-5]</t>
  </si>
  <si>
    <t>Hint:</t>
  </si>
  <si>
    <t>From first row: (M₁₁-λ₁)v₁ + M₁₂v₂ = 0</t>
  </si>
  <si>
    <t>Setting v₂ = 1, v₁ = -M₁₂/(M₁₁-λ₁)</t>
  </si>
  <si>
    <t>Eigenvector v₁ =</t>
  </si>
  <si>
    <t>Answer Key - Linear Algebra</t>
  </si>
  <si>
    <t>u + v</t>
  </si>
  <si>
    <t>u - v</t>
  </si>
  <si>
    <t>2 × u</t>
  </si>
  <si>
    <t>u₁×v₁</t>
  </si>
  <si>
    <t>u₂×v₂</t>
  </si>
  <si>
    <t>u₃×v₃</t>
  </si>
  <si>
    <t>u · v</t>
  </si>
  <si>
    <t>||u||</t>
  </si>
  <si>
    <t>||v||</t>
  </si>
  <si>
    <t>cos(θ)</t>
  </si>
  <si>
    <t>θ (degrees)</t>
  </si>
  <si>
    <t>Scalar coefficient</t>
  </si>
  <si>
    <t>proj_u(v)</t>
  </si>
  <si>
    <t>A + B</t>
  </si>
  <si>
    <t>(AB)₁₁</t>
  </si>
  <si>
    <t>A × B</t>
  </si>
  <si>
    <t>Aᵀ</t>
  </si>
  <si>
    <t>det(A)</t>
  </si>
  <si>
    <t>det(M)</t>
  </si>
  <si>
    <t>M⁻¹</t>
  </si>
  <si>
    <t>trace(M)</t>
  </si>
  <si>
    <t>Discriminant</t>
  </si>
  <si>
    <t>λ₁</t>
  </si>
  <si>
    <t>λ₂</t>
  </si>
  <si>
    <t>Eigenvector v₁</t>
  </si>
</sst>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6"/>
    </font>
    <font>
      <i val="1"/>
      <sz val="11"/>
    </font>
    <font>
      <name val="맑은 고딕"/>
      <sz val="11"/>
    </font>
    <font>
      <name val="맑은 고딕"/>
      <b val="1"/>
      <sz val="13"/>
    </font>
    <font>
      <name val="Cambria Math"/>
      <sz val="11"/>
    </font>
    <font>
      <b val="1"/>
    </font>
    <font>
      <name val="Consolas"/>
      <sz val="11"/>
    </font>
    <font>
      <name val="맑은 고딕"/>
      <b val="1"/>
      <color rgb="004472C4"/>
      <sz val="12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E4DFEC"/>
        <bgColor rgb="00E4DFEC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</borders>
  <cellStyleXfs count="1">
    <xf borderId="0" fillId="0" fontId="0" numFmtId="0"/>
  </cellStyleXfs>
  <cellXfs count="27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0" numFmtId="0" pivotButton="0" quotePrefix="0" xfId="0"/>
    <xf borderId="1" fillId="3" fontId="0" numFmtId="0" pivotButton="0" quotePrefix="0" xfId="0"/>
    <xf borderId="1" fillId="4" fontId="0" numFmtId="0" pivotButton="0" quotePrefix="0" xfId="0"/>
    <xf borderId="1" fillId="5" fontId="0" numFmtId="0" pivotButton="0" quotePrefix="0" xfId="0"/>
    <xf borderId="1" fillId="6" fontId="0" numFmtId="0" pivotButton="0" quotePrefix="0" xfId="0"/>
    <xf borderId="1" fillId="7" fontId="0" numFmtId="0" pivotButton="0" quotePrefix="0" xfId="0"/>
    <xf borderId="1" fillId="8" fontId="0" numFmtId="0" pivotButton="0" quotePrefix="0" xfId="0"/>
    <xf borderId="0" fillId="0" fontId="6" numFmtId="0" pivotButton="0" quotePrefix="0" xfId="0"/>
    <xf borderId="0" fillId="0" fontId="7" numFmtId="0" pivotButton="0" quotePrefix="0" xfId="0"/>
    <xf applyAlignment="1" borderId="1" fillId="2" fontId="0" numFmtId="0" pivotButton="0" quotePrefix="0" xfId="0">
      <alignment horizontal="center" vertical="center"/>
    </xf>
    <xf applyAlignment="1" borderId="1" fillId="3" fontId="0" numFmtId="0" pivotButton="0" quotePrefix="0" xfId="0">
      <alignment horizontal="center" vertical="center"/>
    </xf>
    <xf borderId="0" fillId="0" fontId="8" numFmtId="0" pivotButton="0" quotePrefix="0" xfId="0"/>
    <xf borderId="0" fillId="9" fontId="0" numFmtId="0" pivotButton="0" quotePrefix="0" xfId="0"/>
    <xf applyAlignment="1" borderId="2" fillId="6" fontId="0" numFmtId="0" pivotButton="0" quotePrefix="0" xfId="0">
      <alignment horizontal="center" vertical="center"/>
    </xf>
    <xf borderId="2" fillId="6" fontId="0" numFmtId="0" pivotButton="0" quotePrefix="0" xfId="0"/>
    <xf applyAlignment="1" borderId="1" fillId="10" fontId="0" numFmtId="0" pivotButton="0" quotePrefix="0" xfId="0">
      <alignment horizontal="center" vertical="center"/>
    </xf>
    <xf applyAlignment="1" borderId="1" fillId="11" fontId="0" numFmtId="0" pivotButton="0" quotePrefix="0" xfId="0">
      <alignment horizontal="center" vertical="center"/>
    </xf>
    <xf borderId="0" fillId="10" fontId="0" numFmtId="0" pivotButton="0" quotePrefix="0" xfId="0"/>
    <xf borderId="0" fillId="11" fontId="0" numFmtId="0" pivotButton="0" quotePrefix="0" xfId="0"/>
    <xf applyAlignment="1" borderId="1" fillId="10" fontId="9" numFmtId="0" pivotButton="0" quotePrefix="0" xfId="0">
      <alignment horizontal="center" vertical="center"/>
    </xf>
    <xf borderId="0" fillId="4" fontId="0" numFmtId="0" pivotButton="0" quotePrefix="0" xfId="0"/>
  </cellXfs>
  <cellStyles count="1">
    <cellStyle builtinId="0" hidden="0" name="Normal" xfId="0"/>
  </cellStyles>
  <dxfs count="2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sharedStrings.xml" Type="http://schemas.openxmlformats.org/officeDocument/2006/relationships/sharedStrings"/><Relationship Id="rId7" Target="styles.xml" Type="http://schemas.openxmlformats.org/officeDocument/2006/relationships/styles"/><Relationship Id="rId8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 outlineLevelCol="0"/>
  <cols>
    <col customWidth="1" max="1" min="1" width="80"/>
    <col customWidth="1" max="2" min="2" width="5"/>
  </cols>
  <sheetData>
    <row r="1" spans="1:2">
      <c r="A1" s="1" t="s">
        <v>0</v>
      </c>
    </row>
    <row r="3" spans="1:2">
      <c r="A3" s="2" t="s">
        <v>1</v>
      </c>
    </row>
    <row r="4" spans="1:2">
      <c r="A4" s="3">
        <f>=====================================================================</f>
        <v/>
      </c>
    </row>
    <row r="6" spans="1:2">
      <c r="A6" s="4" t="s">
        <v>2</v>
      </c>
    </row>
    <row r="7" spans="1:2">
      <c r="A7" s="3" t="s">
        <v>3</v>
      </c>
    </row>
    <row r="8" spans="1:2">
      <c r="A8" s="3" t="s">
        <v>4</v>
      </c>
    </row>
    <row r="9" spans="1:2">
      <c r="A9" s="3" t="s">
        <v>5</v>
      </c>
    </row>
    <row r="10" spans="1:2">
      <c r="A10" s="3" t="s">
        <v>6</v>
      </c>
    </row>
    <row r="11" spans="1:2">
      <c r="A11" s="3" t="s">
        <v>7</v>
      </c>
    </row>
    <row r="13" spans="1:2">
      <c r="A13" s="4" t="s">
        <v>8</v>
      </c>
    </row>
    <row r="14" spans="1:2">
      <c r="A14" s="5" t="s">
        <v>9</v>
      </c>
    </row>
    <row r="15" spans="1:2">
      <c r="A15" s="5" t="s">
        <v>10</v>
      </c>
    </row>
    <row r="16" spans="1:2">
      <c r="A16" s="5" t="s">
        <v>11</v>
      </c>
    </row>
    <row r="17" spans="1:2">
      <c r="A17" s="5" t="s">
        <v>12</v>
      </c>
    </row>
    <row r="19" spans="1:2">
      <c r="A19" s="4" t="s">
        <v>13</v>
      </c>
    </row>
    <row r="20" spans="1:2">
      <c r="A20" s="5" t="s">
        <v>14</v>
      </c>
    </row>
    <row r="21" spans="1:2">
      <c r="A21" s="5" t="s">
        <v>15</v>
      </c>
    </row>
    <row r="22" spans="1:2">
      <c r="A22" s="5" t="s">
        <v>16</v>
      </c>
    </row>
    <row r="23" spans="1:2">
      <c r="A23" s="5" t="s">
        <v>17</v>
      </c>
    </row>
    <row r="24" spans="1:2">
      <c r="A24" s="5" t="s">
        <v>18</v>
      </c>
    </row>
    <row r="26" spans="1:2">
      <c r="A26" s="4" t="s">
        <v>19</v>
      </c>
    </row>
    <row r="27" spans="1:2">
      <c r="A27" s="5" t="s">
        <v>20</v>
      </c>
    </row>
    <row r="28" spans="1:2">
      <c r="A28" s="5" t="s">
        <v>21</v>
      </c>
    </row>
    <row r="29" spans="1:2">
      <c r="A29" s="5" t="s">
        <v>22</v>
      </c>
    </row>
    <row r="30" spans="1:2">
      <c r="A30" s="5" t="s">
        <v>23</v>
      </c>
    </row>
    <row r="32" spans="1:2">
      <c r="A32" s="4" t="s">
        <v>24</v>
      </c>
    </row>
    <row r="33" spans="1:2">
      <c r="A33" s="3" t="s">
        <v>25</v>
      </c>
      <c r="B33" s="6" t="n"/>
    </row>
    <row r="34" spans="1:2">
      <c r="A34" s="3" t="s">
        <v>26</v>
      </c>
      <c r="B34" s="7" t="n"/>
    </row>
    <row r="35" spans="1:2">
      <c r="A35" s="3" t="s">
        <v>27</v>
      </c>
      <c r="B35" s="8" t="n"/>
    </row>
    <row r="36" spans="1:2">
      <c r="A36" s="3" t="s">
        <v>28</v>
      </c>
      <c r="B36" s="9" t="n"/>
    </row>
    <row r="37" spans="1:2">
      <c r="A37" s="3" t="s">
        <v>29</v>
      </c>
      <c r="B37" s="10" t="n"/>
    </row>
    <row r="38" spans="1:2">
      <c r="A38" s="3" t="s">
        <v>30</v>
      </c>
      <c r="B38" s="11" t="n"/>
    </row>
    <row r="39" spans="1:2">
      <c r="A39" s="3" t="s">
        <v>31</v>
      </c>
      <c r="B39" s="12" t="n"/>
    </row>
    <row r="41" spans="1:2">
      <c r="A41" s="4" t="s">
        <v>32</v>
      </c>
    </row>
    <row r="42" spans="1:2">
      <c r="A42" s="3" t="s">
        <v>33</v>
      </c>
    </row>
    <row r="43" spans="1:2">
      <c r="A43" s="3" t="s">
        <v>34</v>
      </c>
    </row>
    <row r="44" spans="1:2">
      <c r="A44" s="3" t="s">
        <v>35</v>
      </c>
    </row>
    <row r="45" spans="1:2">
      <c r="A45" s="3" t="s">
        <v>36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 outlineLevelCol="0"/>
  <cols>
    <col customWidth="1" max="1" min="1" width="15"/>
    <col customWidth="1" max="2" min="2" width="25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</cols>
  <sheetData>
    <row r="1" spans="1:8">
      <c r="A1" s="1" t="s">
        <v>37</v>
      </c>
    </row>
    <row r="3" spans="1:8">
      <c r="A3" s="13" t="s">
        <v>38</v>
      </c>
      <c r="B3">
        <f>COUNTIF(G:G,"✓")/15*100&amp;"%"</f>
        <v/>
      </c>
    </row>
    <row r="5" spans="1:8">
      <c r="A5" s="4">
        <f>== Vector Definition ===</f>
        <v/>
      </c>
    </row>
    <row r="6" spans="1:8">
      <c r="A6" s="13" t="s">
        <v>39</v>
      </c>
      <c r="B6" s="14" t="s">
        <v>40</v>
      </c>
      <c r="C6" s="15" t="n">
        <v>3</v>
      </c>
      <c r="D6" s="15" t="n">
        <v>4</v>
      </c>
      <c r="E6" s="15" t="n">
        <v>0</v>
      </c>
      <c r="F6" s="14" t="s">
        <v>41</v>
      </c>
    </row>
    <row r="7" spans="1:8">
      <c r="A7" s="13" t="s">
        <v>42</v>
      </c>
      <c r="B7" s="14" t="s">
        <v>40</v>
      </c>
      <c r="C7" s="16" t="n">
        <v>1</v>
      </c>
      <c r="D7" s="16" t="n">
        <v>2</v>
      </c>
      <c r="E7" s="16" t="n">
        <v>2</v>
      </c>
      <c r="F7" s="14" t="s">
        <v>41</v>
      </c>
    </row>
    <row r="9" spans="1:8">
      <c r="A9" s="17" t="s">
        <v>43</v>
      </c>
    </row>
    <row r="10" spans="1:8">
      <c r="A10" s="18" t="s">
        <v>44</v>
      </c>
      <c r="B10" s="18" t="s">
        <v>45</v>
      </c>
    </row>
    <row r="11" spans="1:8">
      <c r="A11" t="s">
        <v>46</v>
      </c>
      <c r="B11" s="14" t="s">
        <v>40</v>
      </c>
      <c r="C11" s="19" t="n"/>
      <c r="D11" s="19" t="n"/>
      <c r="E11" s="19" t="n"/>
      <c r="F11" s="14" t="s">
        <v>41</v>
      </c>
      <c r="G11">
        <f>IF(AND(ABS(C11-Answer_Key!B4)&lt;0.001,ABS(D11-Answer_Key!C4)&lt;0.001,ABS(E11-Answer_Key!D4)&lt;0.001),"✓","✗")</f>
        <v/>
      </c>
    </row>
    <row r="13" spans="1:8">
      <c r="A13" s="17" t="s">
        <v>47</v>
      </c>
    </row>
    <row r="14" spans="1:8">
      <c r="A14" s="18" t="s">
        <v>44</v>
      </c>
      <c r="B14" s="18" t="s">
        <v>48</v>
      </c>
    </row>
    <row r="15" spans="1:8">
      <c r="A15" t="s">
        <v>49</v>
      </c>
      <c r="B15" s="14" t="s">
        <v>40</v>
      </c>
      <c r="C15" s="19" t="n"/>
      <c r="D15" s="19" t="n"/>
      <c r="E15" s="19" t="n"/>
      <c r="F15" s="14" t="s">
        <v>41</v>
      </c>
      <c r="G15">
        <f>IF(AND(ABS(C15-Answer_Key!B5)&lt;0.001,ABS(D15-Answer_Key!C5)&lt;0.001,ABS(E15-Answer_Key!D5)&lt;0.001),"✓","✗")</f>
        <v/>
      </c>
    </row>
    <row r="17" spans="1:8">
      <c r="A17" s="17" t="s">
        <v>50</v>
      </c>
    </row>
    <row r="18" spans="1:8">
      <c r="A18" s="18" t="s">
        <v>44</v>
      </c>
      <c r="B18" s="18" t="s">
        <v>51</v>
      </c>
    </row>
    <row r="19" spans="1:8">
      <c r="A19" t="s">
        <v>52</v>
      </c>
      <c r="B19" s="14" t="s">
        <v>40</v>
      </c>
      <c r="C19" s="19" t="n"/>
      <c r="D19" s="19" t="n"/>
      <c r="E19" s="19" t="n"/>
      <c r="F19" s="14" t="s">
        <v>41</v>
      </c>
      <c r="G19">
        <f>IF(AND(ABS(C19-Answer_Key!B6)&lt;0.001,ABS(D19-Answer_Key!C6)&lt;0.001,ABS(E19-Answer_Key!D6)&lt;0.001),"✓","✗")</f>
        <v/>
      </c>
    </row>
    <row r="21" spans="1:8">
      <c r="A21" s="17" t="s">
        <v>53</v>
      </c>
    </row>
    <row r="22" spans="1:8">
      <c r="A22" s="18" t="s">
        <v>44</v>
      </c>
      <c r="B22" s="18" t="s">
        <v>54</v>
      </c>
    </row>
    <row r="23" spans="1:8">
      <c r="A23" t="s">
        <v>55</v>
      </c>
      <c r="B23" s="18" t="s">
        <v>56</v>
      </c>
      <c r="E23" s="20" t="n"/>
      <c r="G23">
        <f>IF(ABS(E23-Answer_Key!B8)&lt;0.001,"✓","✗")</f>
        <v/>
      </c>
    </row>
    <row r="24" spans="1:8">
      <c r="A24" t="s">
        <v>57</v>
      </c>
      <c r="B24" s="18" t="s">
        <v>58</v>
      </c>
      <c r="E24" s="20" t="n"/>
      <c r="G24">
        <f>IF(ABS(E24-Answer_Key!B9)&lt;0.001,"✓","✗")</f>
        <v/>
      </c>
    </row>
    <row r="25" spans="1:8">
      <c r="A25" t="s">
        <v>59</v>
      </c>
      <c r="B25" s="18" t="s">
        <v>60</v>
      </c>
      <c r="E25" s="20" t="n"/>
      <c r="G25">
        <f>IF(ABS(E25-Answer_Key!B10)&lt;0.001,"✓","✗")</f>
        <v/>
      </c>
    </row>
    <row r="26" spans="1:8">
      <c r="A26" t="s">
        <v>61</v>
      </c>
      <c r="B26" s="13" t="s">
        <v>62</v>
      </c>
      <c r="E26" s="20" t="n"/>
      <c r="G26">
        <f>IF(ABS(E26-Answer_Key!B11)&lt;0.001,"✓","✗")</f>
        <v/>
      </c>
    </row>
    <row r="28" spans="1:8">
      <c r="A28" s="17" t="s">
        <v>63</v>
      </c>
    </row>
    <row r="29" spans="1:8">
      <c r="A29" s="18" t="s">
        <v>44</v>
      </c>
      <c r="B29" s="18" t="s">
        <v>64</v>
      </c>
    </row>
    <row r="30" spans="1:8">
      <c r="A30" t="s">
        <v>65</v>
      </c>
      <c r="B30" s="18" t="s">
        <v>66</v>
      </c>
      <c r="G30" s="20">
        <f>IF(ABS(G30-Answer_Key!B13)&lt;0.001,"✓","✗")</f>
        <v/>
      </c>
      <c r="H30">
        <f>IF(ABS(G30-Answer_Key!B12)&lt;0.001,"✓","✗")</f>
        <v/>
      </c>
    </row>
    <row r="31" spans="1:8">
      <c r="A31" t="s">
        <v>67</v>
      </c>
      <c r="B31" s="18" t="s">
        <v>68</v>
      </c>
      <c r="G31" s="20">
        <f>IF(ABS(G31-Answer_Key!B14)&lt;0.001,"✓","✗")</f>
        <v/>
      </c>
      <c r="H31">
        <f>IF(ABS(G31-Answer_Key!B13)&lt;0.001,"✓","✗")</f>
        <v/>
      </c>
    </row>
    <row r="33" spans="1:8">
      <c r="A33" s="17" t="s">
        <v>69</v>
      </c>
    </row>
    <row r="34" spans="1:8">
      <c r="A34" s="18" t="s">
        <v>44</v>
      </c>
      <c r="B34" s="18" t="s">
        <v>70</v>
      </c>
    </row>
    <row r="35" spans="1:8">
      <c r="A35" t="s">
        <v>71</v>
      </c>
      <c r="B35" s="18" t="s">
        <v>72</v>
      </c>
      <c r="E35" s="20" t="n"/>
      <c r="G35">
        <f>IF(ABS(E35-Answer_Key!B16)&lt;0.001,"✓","✗")</f>
        <v/>
      </c>
    </row>
    <row r="36" spans="1:8">
      <c r="A36" t="s">
        <v>73</v>
      </c>
      <c r="B36" s="18" t="s">
        <v>74</v>
      </c>
      <c r="E36" s="20" t="n"/>
      <c r="G36">
        <f>IF(ABS(E36-Answer_Key!B17)&lt;1,"✓","✗")</f>
        <v/>
      </c>
    </row>
    <row r="38" spans="1:8">
      <c r="A38" s="17" t="s">
        <v>75</v>
      </c>
    </row>
    <row r="39" spans="1:8">
      <c r="A39" s="18" t="s">
        <v>44</v>
      </c>
      <c r="B39" s="18" t="s">
        <v>76</v>
      </c>
    </row>
    <row r="40" spans="1:8">
      <c r="A40" t="s">
        <v>77</v>
      </c>
      <c r="B40" s="18" t="s">
        <v>78</v>
      </c>
      <c r="E40" s="20" t="n"/>
      <c r="G40">
        <f>IF(ABS(E40-Answer_Key!B19)&lt;0.001,"✓","✗")</f>
        <v/>
      </c>
    </row>
    <row r="41" spans="1:8">
      <c r="A41" t="s">
        <v>79</v>
      </c>
      <c r="B41" s="14" t="s">
        <v>40</v>
      </c>
      <c r="C41" s="19" t="n"/>
      <c r="D41" s="19" t="n"/>
      <c r="E41" s="19" t="n"/>
      <c r="F41" s="14" t="s">
        <v>41</v>
      </c>
      <c r="G41">
        <f>IF(AND(ABS(C41-Answer_Key!B20)&lt;0.001,ABS(D41-Answer_Key!C20)&lt;0.001,ABS(E41-Answer_Key!D20)&lt;0.001),"✓","✗")</f>
        <v/>
      </c>
    </row>
  </sheetData>
  <conditionalFormatting sqref="G1:H100">
    <cfRule dxfId="0" priority="1" type="expression">
      <formula>G1="✓"</formula>
    </cfRule>
    <cfRule dxfId="1" priority="2" type="expression">
      <formula>G1="✗"</formula>
    </cfRule>
  </conditionalFormatting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 outlineLevelCol="0"/>
  <cols>
    <col customWidth="1" max="1" min="1" width="15"/>
    <col customWidth="1" max="2" min="2" width="8"/>
    <col customWidth="1" max="3" min="3" width="8"/>
    <col customWidth="1" max="4" min="4" width="8"/>
    <col customWidth="1" max="5" min="5" width="8"/>
    <col customWidth="1" max="6" min="6" width="8"/>
    <col customWidth="1" max="7" min="7" width="8"/>
    <col customWidth="1" max="8" min="8" width="8"/>
    <col customWidth="1" max="9" min="9" width="8"/>
    <col customWidth="1" max="10" min="10" width="8"/>
    <col customWidth="1" max="11" min="11" width="8"/>
    <col customWidth="1" max="12" min="12" width="8"/>
    <col customWidth="1" max="13" min="13" width="8"/>
    <col customWidth="1" max="14" min="14" width="8"/>
    <col customWidth="1" max="15" min="15" width="8"/>
    <col customWidth="1" max="16" min="16" width="8"/>
    <col customWidth="1" max="17" min="17" width="8"/>
    <col customWidth="1" max="18" min="18" width="8"/>
    <col customWidth="1" max="19" min="19" width="8"/>
  </cols>
  <sheetData>
    <row r="1" spans="1:12">
      <c r="A1" s="1" t="s">
        <v>80</v>
      </c>
    </row>
    <row r="3" spans="1:12">
      <c r="A3" s="13" t="s">
        <v>38</v>
      </c>
      <c r="B3">
        <f>COUNTIF(L:L,"✓")/15*100&amp;"%"</f>
        <v/>
      </c>
    </row>
    <row r="5" spans="1:12">
      <c r="A5" s="4">
        <f>== Matrix Definition ===</f>
        <v/>
      </c>
    </row>
    <row r="6" spans="1:12">
      <c r="A6" s="13" t="s">
        <v>81</v>
      </c>
      <c r="B6" s="21" t="n">
        <v>1</v>
      </c>
      <c r="C6" s="21" t="n">
        <v>2</v>
      </c>
      <c r="D6" s="21" t="n">
        <v>0</v>
      </c>
    </row>
    <row r="7" spans="1:12">
      <c r="B7" s="21" t="n">
        <v>3</v>
      </c>
      <c r="C7" s="21" t="n">
        <v>1</v>
      </c>
      <c r="D7" s="21" t="n">
        <v>1</v>
      </c>
    </row>
    <row r="8" spans="1:12">
      <c r="B8" s="21" t="n">
        <v>0</v>
      </c>
      <c r="C8" s="21" t="n">
        <v>1</v>
      </c>
      <c r="D8" s="21" t="n">
        <v>2</v>
      </c>
    </row>
    <row r="10" spans="1:12">
      <c r="A10" s="13" t="s">
        <v>82</v>
      </c>
      <c r="B10" s="22" t="n">
        <v>2</v>
      </c>
      <c r="C10" s="22" t="n">
        <v>0</v>
      </c>
      <c r="D10" s="22" t="n">
        <v>1</v>
      </c>
    </row>
    <row r="11" spans="1:12">
      <c r="B11" s="22" t="n">
        <v>1</v>
      </c>
      <c r="C11" s="22" t="n">
        <v>3</v>
      </c>
      <c r="D11" s="22" t="n">
        <v>0</v>
      </c>
    </row>
    <row r="12" spans="1:12">
      <c r="B12" s="22" t="n">
        <v>0</v>
      </c>
      <c r="C12" s="22" t="n">
        <v>1</v>
      </c>
      <c r="D12" s="22" t="n">
        <v>2</v>
      </c>
    </row>
    <row r="15" spans="1:12">
      <c r="A15" s="17" t="s">
        <v>83</v>
      </c>
    </row>
    <row r="16" spans="1:12">
      <c r="A16" s="18" t="s">
        <v>84</v>
      </c>
    </row>
    <row r="17" spans="1:12">
      <c r="A17" t="s">
        <v>85</v>
      </c>
      <c r="B17" s="19" t="n"/>
      <c r="C17" s="19" t="n"/>
      <c r="D17" s="19" t="n"/>
      <c r="F17">
        <f>IF(AND(ABS(B17-Answer_Key!B23)&lt;0.001,ABS(C17-Answer_Key!C23)&lt;0.001,ABS(D17-Answer_Key!D23)&lt;0.001),"✓","✗")</f>
        <v/>
      </c>
      <c r="L17">
        <f>IF(AND(ABS(B17-Answer_Key!B24)&lt;0.001,ABS(C17-Answer_Key!C24)&lt;0.001,ABS(D17-Answer_Key!D24)&lt;0.001),"✓","✗")</f>
        <v/>
      </c>
    </row>
    <row r="18" spans="1:12">
      <c r="B18" s="19" t="n"/>
      <c r="C18" s="19" t="n"/>
      <c r="D18" s="19" t="n"/>
      <c r="F18">
        <f>IF(AND(ABS(B18-Answer_Key!B24)&lt;0.001,ABS(C18-Answer_Key!C24)&lt;0.001,ABS(D18-Answer_Key!D24)&lt;0.001),"✓","✗")</f>
        <v/>
      </c>
      <c r="L18">
        <f>IF(AND(ABS(B18-Answer_Key!B25)&lt;0.001,ABS(C18-Answer_Key!C25)&lt;0.001,ABS(D18-Answer_Key!D25)&lt;0.001),"✓","✗")</f>
        <v/>
      </c>
    </row>
    <row r="19" spans="1:12">
      <c r="B19" s="19" t="n"/>
      <c r="C19" s="19" t="n"/>
      <c r="D19" s="19" t="n"/>
      <c r="F19">
        <f>IF(AND(ABS(B19-Answer_Key!B25)&lt;0.001,ABS(C19-Answer_Key!C25)&lt;0.001,ABS(D19-Answer_Key!D25)&lt;0.001),"✓","✗")</f>
        <v/>
      </c>
      <c r="L19">
        <f>IF(AND(ABS(B19-Answer_Key!B26)&lt;0.001,ABS(C19-Answer_Key!C26)&lt;0.001,ABS(D19-Answer_Key!D26)&lt;0.001),"✓","✗")</f>
        <v/>
      </c>
    </row>
    <row r="22" spans="1:12">
      <c r="A22" s="17" t="s">
        <v>86</v>
      </c>
    </row>
    <row r="23" spans="1:12">
      <c r="A23" s="18" t="s">
        <v>87</v>
      </c>
    </row>
    <row r="25" spans="1:12">
      <c r="A25" s="13" t="s">
        <v>88</v>
      </c>
    </row>
    <row r="26" spans="1:12">
      <c r="A26" s="23" t="s">
        <v>89</v>
      </c>
      <c r="B26" s="23" t="s">
        <v>90</v>
      </c>
    </row>
    <row r="27" spans="1:12">
      <c r="A27" s="24" t="s">
        <v>91</v>
      </c>
      <c r="B27" s="24" t="s">
        <v>92</v>
      </c>
    </row>
    <row r="28" spans="1:12">
      <c r="A28" t="s">
        <v>93</v>
      </c>
      <c r="B28" s="18" t="s">
        <v>94</v>
      </c>
      <c r="G28" s="20">
        <f>IF(ABS(G28-Answer_Key!B28)&lt;0.001,"✓","✗")</f>
        <v/>
      </c>
      <c r="H28">
        <f>IF(ABS(G28-Answer_Key!B28)&lt;0.001,"✓","✗")</f>
        <v/>
      </c>
    </row>
    <row r="30" spans="1:12">
      <c r="A30" s="13" t="s">
        <v>95</v>
      </c>
      <c r="B30" s="19" t="n"/>
      <c r="C30" s="19" t="n"/>
      <c r="D30" s="19" t="n"/>
      <c r="F30">
        <f>IF(AND(ABS(B30-Answer_Key!B30)&lt;0.001,ABS(C30-Answer_Key!C30)&lt;0.001,ABS(D30-Answer_Key!D30)&lt;0.001),"✓","✗")</f>
        <v/>
      </c>
      <c r="L30">
        <f>IF(AND(ABS(B30-Answer_Key!B30)&lt;0.001,ABS(C30-Answer_Key!C30)&lt;0.001,ABS(D30-Answer_Key!D30)&lt;0.001),"✓","✗")</f>
        <v/>
      </c>
    </row>
    <row r="31" spans="1:12">
      <c r="B31" s="19" t="n"/>
      <c r="C31" s="19" t="n"/>
      <c r="D31" s="19" t="n"/>
      <c r="F31">
        <f>IF(AND(ABS(B31-Answer_Key!B31)&lt;0.001,ABS(C31-Answer_Key!C31)&lt;0.001,ABS(D31-Answer_Key!D31)&lt;0.001),"✓","✗")</f>
        <v/>
      </c>
      <c r="L31">
        <f>IF(AND(ABS(B31-Answer_Key!B31)&lt;0.001,ABS(C31-Answer_Key!C31)&lt;0.001,ABS(D31-Answer_Key!D31)&lt;0.001),"✓","✗")</f>
        <v/>
      </c>
    </row>
    <row r="32" spans="1:12">
      <c r="B32" s="19" t="n"/>
      <c r="C32" s="19" t="n"/>
      <c r="D32" s="19" t="n"/>
      <c r="F32">
        <f>IF(AND(ABS(B32-Answer_Key!B32)&lt;0.001,ABS(C32-Answer_Key!C32)&lt;0.001,ABS(D32-Answer_Key!D32)&lt;0.001),"✓","✗")</f>
        <v/>
      </c>
      <c r="L32">
        <f>IF(AND(ABS(B32-Answer_Key!B32)&lt;0.001,ABS(C32-Answer_Key!C32)&lt;0.001,ABS(D32-Answer_Key!D32)&lt;0.001),"✓","✗")</f>
        <v/>
      </c>
    </row>
    <row r="35" spans="1:12">
      <c r="A35" s="17" t="s">
        <v>96</v>
      </c>
    </row>
    <row r="36" spans="1:12">
      <c r="A36" s="18" t="s">
        <v>97</v>
      </c>
    </row>
    <row r="37" spans="1:12">
      <c r="A37" t="s">
        <v>98</v>
      </c>
      <c r="B37" s="19" t="n"/>
      <c r="C37" s="19" t="n"/>
      <c r="D37" s="19" t="n"/>
      <c r="F37">
        <f>IF(AND(ABS(B37-Answer_Key!B35)&lt;0.001,ABS(C37-Answer_Key!C35)&lt;0.001,ABS(D37-Answer_Key!D35)&lt;0.001),"✓","✗")</f>
        <v/>
      </c>
      <c r="L37">
        <f>IF(AND(ABS(B37-Answer_Key!B34)&lt;0.001,ABS(C37-Answer_Key!C34)&lt;0.001,ABS(D37-Answer_Key!D34)&lt;0.001),"✓","✗")</f>
        <v/>
      </c>
    </row>
    <row r="38" spans="1:12">
      <c r="B38" s="19" t="n"/>
      <c r="C38" s="19" t="n"/>
      <c r="D38" s="19" t="n"/>
      <c r="F38">
        <f>IF(AND(ABS(B38-Answer_Key!B36)&lt;0.001,ABS(C38-Answer_Key!C36)&lt;0.001,ABS(D38-Answer_Key!D36)&lt;0.001),"✓","✗")</f>
        <v/>
      </c>
      <c r="L38">
        <f>IF(AND(ABS(B38-Answer_Key!B35)&lt;0.001,ABS(C38-Answer_Key!C35)&lt;0.001,ABS(D38-Answer_Key!D35)&lt;0.001),"✓","✗")</f>
        <v/>
      </c>
    </row>
    <row r="39" spans="1:12">
      <c r="B39" s="19" t="n"/>
      <c r="C39" s="19" t="n"/>
      <c r="D39" s="19" t="n"/>
      <c r="F39">
        <f>IF(AND(ABS(B39-Answer_Key!B37)&lt;0.001,ABS(C39-Answer_Key!C37)&lt;0.001,ABS(D39-Answer_Key!D37)&lt;0.001),"✓","✗")</f>
        <v/>
      </c>
      <c r="L39">
        <f>IF(AND(ABS(B39-Answer_Key!B36)&lt;0.001,ABS(C39-Answer_Key!C36)&lt;0.001,ABS(D39-Answer_Key!D36)&lt;0.001),"✓","✗")</f>
        <v/>
      </c>
    </row>
    <row r="42" spans="1:12">
      <c r="A42" s="17" t="s">
        <v>99</v>
      </c>
    </row>
    <row r="43" spans="1:12">
      <c r="A43" s="18" t="s">
        <v>100</v>
      </c>
    </row>
    <row r="44" spans="1:12">
      <c r="A44" t="s">
        <v>101</v>
      </c>
      <c r="C44" s="18" t="s">
        <v>102</v>
      </c>
    </row>
    <row r="45" spans="1:12">
      <c r="A45" t="s">
        <v>103</v>
      </c>
      <c r="C45" s="18" t="s">
        <v>104</v>
      </c>
    </row>
    <row r="46" spans="1:12">
      <c r="A46" s="13" t="s">
        <v>105</v>
      </c>
      <c r="C46" s="20" t="n"/>
      <c r="D46">
        <f>IF(ABS(C46-Answer_Key!B38)&lt;0.001,"✓","✗")</f>
        <v/>
      </c>
      <c r="E46">
        <f>IF(ABS(C46-Answer_Key!B40)&lt;0.001,"✓","✗")</f>
        <v/>
      </c>
    </row>
    <row r="48" spans="1:12">
      <c r="A48" s="17" t="s">
        <v>106</v>
      </c>
    </row>
    <row r="49" spans="1:12">
      <c r="A49" s="13" t="s">
        <v>107</v>
      </c>
      <c r="B49" s="21" t="n">
        <v>4</v>
      </c>
      <c r="C49" s="21" t="n">
        <v>2</v>
      </c>
    </row>
    <row r="50" spans="1:12">
      <c r="B50" s="21" t="n">
        <v>1</v>
      </c>
      <c r="C50" s="21" t="n">
        <v>3</v>
      </c>
    </row>
    <row r="52" spans="1:12">
      <c r="A52" s="18" t="s">
        <v>44</v>
      </c>
      <c r="B52" s="18" t="s">
        <v>108</v>
      </c>
    </row>
    <row r="53" spans="1:12">
      <c r="A53" t="s">
        <v>109</v>
      </c>
      <c r="B53" s="18" t="s">
        <v>110</v>
      </c>
      <c r="E53" s="20">
        <f>IF(ABS(E53-Answer_Key!B42)&lt;0.001,"✓","✗")</f>
        <v/>
      </c>
      <c r="G53">
        <f>IF(ABS(E53-Answer_Key!B44)&lt;0.001,"✓","✗")</f>
        <v/>
      </c>
    </row>
    <row r="55" spans="1:12">
      <c r="A55" t="s">
        <v>111</v>
      </c>
      <c r="B55" s="19" t="n"/>
      <c r="C55" s="19" t="n"/>
      <c r="D55">
        <f>IF(AND(ABS(B55-Answer_Key!B44)&lt;0.001,ABS(C55-Answer_Key!C44)&lt;0.001),"✓","✗")</f>
        <v/>
      </c>
      <c r="E55">
        <f>IF(AND(ABS(B55-Answer_Key!B46)&lt;0.001,ABS(C55-Answer_Key!C46)&lt;0.001),"✓","✗")</f>
        <v/>
      </c>
    </row>
    <row r="56" spans="1:12">
      <c r="B56" s="19" t="n"/>
      <c r="C56" s="19" t="n"/>
      <c r="D56">
        <f>IF(AND(ABS(B56-Answer_Key!B45)&lt;0.001,ABS(C56-Answer_Key!C45)&lt;0.001),"✓","✗")</f>
        <v/>
      </c>
      <c r="E56">
        <f>IF(AND(ABS(B56-Answer_Key!B47)&lt;0.001,ABS(C56-Answer_Key!C47)&lt;0.001),"✓","✗")</f>
        <v/>
      </c>
    </row>
  </sheetData>
  <conditionalFormatting sqref="F1:F100">
    <cfRule dxfId="0" priority="1" type="expression">
      <formula>F1="✓"</formula>
    </cfRule>
    <cfRule dxfId="1" priority="2" type="expression">
      <formula>F1="✗"</formula>
    </cfRule>
  </conditionalFormatting>
  <conditionalFormatting sqref="G1:G100">
    <cfRule dxfId="0" priority="1" type="expression">
      <formula>F1="✓"</formula>
    </cfRule>
    <cfRule dxfId="1" priority="2" type="expression">
      <formula>F1="✗"</formula>
    </cfRule>
  </conditionalFormatting>
  <conditionalFormatting sqref="H1:H100">
    <cfRule dxfId="0" priority="1" type="expression">
      <formula>F1="✓"</formula>
    </cfRule>
    <cfRule dxfId="1" priority="2" type="expression">
      <formula>F1="✗"</formula>
    </cfRule>
  </conditionalFormatting>
  <conditionalFormatting sqref="L1:L100">
    <cfRule dxfId="0" priority="1" type="expression">
      <formula>F1="✓"</formula>
    </cfRule>
    <cfRule dxfId="1" priority="2" type="expression">
      <formula>F1="✗"</formula>
    </cfRule>
  </conditionalFormatting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30"/>
    <col customWidth="1" max="3" min="3" width="10"/>
    <col customWidth="1" max="4" min="4" width="10"/>
    <col customWidth="1" max="5" min="5" width="10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</cols>
  <sheetData>
    <row r="1" spans="1:9">
      <c r="A1" s="1" t="s">
        <v>112</v>
      </c>
    </row>
    <row r="3" spans="1:9">
      <c r="A3" s="13" t="s">
        <v>38</v>
      </c>
      <c r="B3">
        <f>COUNTIF(F:F,"✓")/8*100&amp;"%"</f>
        <v/>
      </c>
    </row>
    <row r="5" spans="1:9">
      <c r="A5" s="4">
        <f>== Concept Review ===</f>
        <v/>
      </c>
    </row>
    <row r="6" spans="1:9">
      <c r="A6" s="18" t="s">
        <v>113</v>
      </c>
      <c r="B6" s="18" t="s">
        <v>114</v>
      </c>
    </row>
    <row r="7" spans="1:9">
      <c r="A7" s="18" t="s">
        <v>115</v>
      </c>
      <c r="B7" s="18" t="s">
        <v>116</v>
      </c>
    </row>
    <row r="9" spans="1:9">
      <c r="A9" s="4">
        <f>== 2×2 Matrix M ===</f>
        <v/>
      </c>
    </row>
    <row r="10" spans="1:9">
      <c r="A10" s="13" t="s">
        <v>107</v>
      </c>
      <c r="B10" s="25" t="n">
        <v>4</v>
      </c>
      <c r="C10" s="25" t="n">
        <v>2</v>
      </c>
    </row>
    <row r="11" spans="1:9">
      <c r="B11" s="25" t="n">
        <v>1</v>
      </c>
      <c r="C11" s="25" t="n">
        <v>3</v>
      </c>
    </row>
    <row r="14" spans="1:9">
      <c r="A14" s="17" t="s">
        <v>117</v>
      </c>
    </row>
    <row r="15" spans="1:9">
      <c r="A15" s="18" t="s">
        <v>118</v>
      </c>
      <c r="B15" s="18" t="s">
        <v>119</v>
      </c>
    </row>
    <row r="17" spans="1:9">
      <c r="A17" s="18" t="s">
        <v>120</v>
      </c>
    </row>
    <row r="18" spans="1:9">
      <c r="A18" t="s">
        <v>121</v>
      </c>
      <c r="B18" s="18" t="s">
        <v>122</v>
      </c>
    </row>
    <row r="19" spans="1:9">
      <c r="A19" t="s">
        <v>123</v>
      </c>
      <c r="B19" s="18" t="s">
        <v>124</v>
      </c>
    </row>
    <row r="21" spans="1:9">
      <c r="A21" s="18" t="s">
        <v>125</v>
      </c>
      <c r="D21" s="20" t="n"/>
      <c r="F21">
        <f>IF(ABS(D21-Answer_Key!B49)&lt;0.001,"✓","✗")</f>
        <v/>
      </c>
    </row>
    <row r="22" spans="1:9">
      <c r="A22" s="18" t="s">
        <v>126</v>
      </c>
      <c r="D22" s="20" t="n"/>
      <c r="F22">
        <f>IF(ABS(D22-Answer_Key!B50)&lt;0.001,"✓","✗")</f>
        <v/>
      </c>
    </row>
    <row r="24" spans="1:9">
      <c r="A24" s="17" t="s">
        <v>127</v>
      </c>
    </row>
    <row r="25" spans="1:9">
      <c r="A25" s="18" t="s">
        <v>115</v>
      </c>
      <c r="B25" s="18" t="s">
        <v>128</v>
      </c>
    </row>
    <row r="26" spans="1:9">
      <c r="A26" s="18" t="s">
        <v>129</v>
      </c>
      <c r="B26" s="18" t="s">
        <v>130</v>
      </c>
    </row>
    <row r="28" spans="1:9">
      <c r="A28" t="s">
        <v>131</v>
      </c>
      <c r="C28" s="18" t="s">
        <v>132</v>
      </c>
      <c r="E28" s="20" t="n"/>
      <c r="F28">
        <f>IF(ABS(E28-Answer_Key!B53)&lt;0.001,"✓","✗")</f>
        <v/>
      </c>
    </row>
    <row r="30" spans="1:9">
      <c r="A30" s="13" t="s">
        <v>133</v>
      </c>
      <c r="C30" s="20" t="n"/>
      <c r="F30">
        <f>IF(ABS(C30-Answer_Key!B55)&lt;0.001,"✓","✗")</f>
        <v/>
      </c>
    </row>
    <row r="31" spans="1:9">
      <c r="A31" s="13" t="s">
        <v>134</v>
      </c>
      <c r="C31" s="20" t="n"/>
      <c r="F31">
        <f>IF(ABS(C31-Answer_Key!B56)&lt;0.001,"✓","✗")</f>
        <v/>
      </c>
    </row>
    <row r="33" spans="1:9">
      <c r="A33" s="17" t="s">
        <v>135</v>
      </c>
    </row>
    <row r="34" spans="1:9">
      <c r="A34" s="18" t="s">
        <v>136</v>
      </c>
    </row>
    <row r="35" spans="1:9">
      <c r="A35" s="18" t="s">
        <v>137</v>
      </c>
    </row>
    <row r="37" spans="1:9">
      <c r="A37" s="17" t="s">
        <v>138</v>
      </c>
    </row>
    <row r="38" spans="1:9">
      <c r="A38" s="18" t="s">
        <v>139</v>
      </c>
    </row>
    <row r="39" spans="1:9"/>
    <row r="40" spans="1:9">
      <c r="A40" s="18" t="s">
        <v>140</v>
      </c>
      <c r="B40" s="18" t="s">
        <v>141</v>
      </c>
    </row>
    <row r="41" spans="1:9">
      <c r="B41" s="26">
        <f> [-1, 2; 1, -2]</f>
        <v/>
      </c>
    </row>
    <row r="42" spans="1:9"/>
    <row r="43" spans="1:9">
      <c r="A43" s="18" t="s">
        <v>142</v>
      </c>
      <c r="B43" s="18" t="s">
        <v>143</v>
      </c>
    </row>
    <row r="44" spans="1:9">
      <c r="B44" s="18" t="s">
        <v>144</v>
      </c>
    </row>
    <row r="45" spans="1:9"/>
    <row r="46" spans="1:9">
      <c r="A46" s="13" t="s">
        <v>145</v>
      </c>
      <c r="B46" s="14" t="s">
        <v>40</v>
      </c>
      <c r="C46" s="20" t="n"/>
      <c r="D46" s="20" t="n"/>
      <c r="E46" s="14" t="s">
        <v>41</v>
      </c>
      <c r="F46">
        <f>IF(ABS(C46/D46-Answer_Key!B61/Answer_Key!C61)&lt;0.1,"✓","✗")</f>
        <v/>
      </c>
    </row>
  </sheetData>
  <conditionalFormatting sqref="F1:F100">
    <cfRule dxfId="0" priority="1" type="expression">
      <formula>F1="✓"</formula>
    </cfRule>
    <cfRule dxfId="1" priority="2" type="expression">
      <formula>F1="✗"</formula>
    </cfRule>
  </conditionalFormatting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 outlineLevelCol="0"/>
  <cols>
    <col customWidth="1" max="1" min="1" width="25"/>
    <col customWidth="1" max="2" min="2" width="12"/>
    <col customWidth="1" max="3" min="3" width="12"/>
    <col customWidth="1" max="4" min="4" width="12"/>
  </cols>
  <sheetData>
    <row r="1" spans="1:4">
      <c r="A1" s="1" t="s">
        <v>146</v>
      </c>
    </row>
    <row r="3" spans="1:4">
      <c r="A3" s="4">
        <f>== Vector Operations ===</f>
        <v/>
      </c>
    </row>
    <row r="4" spans="1:4">
      <c r="A4" t="s">
        <v>147</v>
      </c>
      <c r="B4" t="n">
        <v>4</v>
      </c>
      <c r="C4" t="n">
        <v>6</v>
      </c>
      <c r="D4" t="n">
        <v>2</v>
      </c>
    </row>
    <row r="5" spans="1:4">
      <c r="A5" t="s">
        <v>148</v>
      </c>
      <c r="B5" t="n">
        <v>2</v>
      </c>
      <c r="C5" t="n">
        <v>2</v>
      </c>
      <c r="D5" t="n">
        <v>-2</v>
      </c>
    </row>
    <row r="6" spans="1:4">
      <c r="A6" t="s">
        <v>149</v>
      </c>
      <c r="B6" t="n">
        <v>6</v>
      </c>
      <c r="C6" t="n">
        <v>8</v>
      </c>
      <c r="D6" t="n">
        <v>0</v>
      </c>
    </row>
    <row r="8" spans="1:4">
      <c r="A8" t="s">
        <v>150</v>
      </c>
      <c r="B8" t="n">
        <v>3</v>
      </c>
    </row>
    <row r="9" spans="1:4">
      <c r="A9" t="s">
        <v>151</v>
      </c>
      <c r="B9" t="n">
        <v>8</v>
      </c>
    </row>
    <row r="10" spans="1:4">
      <c r="A10" t="s">
        <v>152</v>
      </c>
      <c r="B10" t="n">
        <v>0</v>
      </c>
    </row>
    <row r="11" spans="1:4">
      <c r="A11" t="s">
        <v>153</v>
      </c>
      <c r="B11" t="n">
        <v>11</v>
      </c>
    </row>
    <row r="13" spans="1:4">
      <c r="A13" t="s">
        <v>154</v>
      </c>
      <c r="B13" t="n">
        <v>5</v>
      </c>
    </row>
    <row r="14" spans="1:4">
      <c r="A14" t="s">
        <v>155</v>
      </c>
      <c r="B14" t="n">
        <v>3</v>
      </c>
    </row>
    <row r="16" spans="1:4">
      <c r="A16" t="s">
        <v>156</v>
      </c>
      <c r="B16" t="n">
        <v>0.7333</v>
      </c>
    </row>
    <row r="17" spans="1:4">
      <c r="A17" t="s">
        <v>157</v>
      </c>
      <c r="B17" t="n">
        <v>42.83</v>
      </c>
    </row>
    <row r="19" spans="1:4">
      <c r="A19" t="s">
        <v>158</v>
      </c>
      <c r="B19" t="n">
        <v>0.44</v>
      </c>
    </row>
    <row r="20" spans="1:4">
      <c r="A20" t="s">
        <v>159</v>
      </c>
      <c r="B20" t="n">
        <v>1.32</v>
      </c>
      <c r="C20" t="n">
        <v>1.76</v>
      </c>
      <c r="D20" t="n">
        <v>0</v>
      </c>
    </row>
    <row r="23" spans="1:4">
      <c r="A23" s="4">
        <f>== Matrix Operations ===</f>
        <v/>
      </c>
    </row>
    <row r="24" spans="1:4">
      <c r="A24" t="s">
        <v>160</v>
      </c>
      <c r="B24" t="n">
        <v>3</v>
      </c>
      <c r="C24" t="n">
        <v>2</v>
      </c>
      <c r="D24" t="n">
        <v>1</v>
      </c>
    </row>
    <row r="25" spans="1:4">
      <c r="B25" t="n">
        <v>4</v>
      </c>
      <c r="C25" t="n">
        <v>4</v>
      </c>
      <c r="D25" t="n">
        <v>1</v>
      </c>
    </row>
    <row r="26" spans="1:4">
      <c r="B26" t="n">
        <v>0</v>
      </c>
      <c r="C26" t="n">
        <v>2</v>
      </c>
      <c r="D26" t="n">
        <v>4</v>
      </c>
    </row>
    <row r="28" spans="1:4">
      <c r="A28" t="s">
        <v>161</v>
      </c>
      <c r="B28" t="n">
        <v>4</v>
      </c>
    </row>
    <row r="30" spans="1:4">
      <c r="A30" t="s">
        <v>162</v>
      </c>
      <c r="B30" t="n">
        <v>4</v>
      </c>
      <c r="C30" t="n">
        <v>6</v>
      </c>
      <c r="D30" t="n">
        <v>1</v>
      </c>
    </row>
    <row r="31" spans="1:4">
      <c r="B31" t="n">
        <v>7</v>
      </c>
      <c r="C31" t="n">
        <v>4</v>
      </c>
      <c r="D31" t="n">
        <v>5</v>
      </c>
    </row>
    <row r="32" spans="1:4">
      <c r="B32" t="n">
        <v>1</v>
      </c>
      <c r="C32" t="n">
        <v>5</v>
      </c>
      <c r="D32" t="n">
        <v>4</v>
      </c>
    </row>
    <row r="34" spans="1:4">
      <c r="A34" t="s">
        <v>163</v>
      </c>
      <c r="B34" t="n">
        <v>1</v>
      </c>
      <c r="C34" t="n">
        <v>3</v>
      </c>
      <c r="D34" t="n">
        <v>0</v>
      </c>
    </row>
    <row r="35" spans="1:4">
      <c r="B35" t="n">
        <v>2</v>
      </c>
      <c r="C35" t="n">
        <v>1</v>
      </c>
      <c r="D35" t="n">
        <v>1</v>
      </c>
    </row>
    <row r="36" spans="1:4">
      <c r="B36" t="n">
        <v>0</v>
      </c>
      <c r="C36" t="n">
        <v>1</v>
      </c>
      <c r="D36" t="n">
        <v>2</v>
      </c>
    </row>
    <row r="38" spans="1:4">
      <c r="A38" t="s">
        <v>164</v>
      </c>
      <c r="B38" t="n">
        <v>-11</v>
      </c>
    </row>
    <row r="41" spans="1:4">
      <c r="A41" s="4">
        <f>== 2×2 Inverse ===</f>
        <v/>
      </c>
    </row>
    <row r="42" spans="1:4">
      <c r="A42" t="s">
        <v>165</v>
      </c>
      <c r="B42" t="n">
        <v>10</v>
      </c>
    </row>
    <row r="44" spans="1:4">
      <c r="A44" t="s">
        <v>166</v>
      </c>
      <c r="B44" t="n">
        <v>0.3</v>
      </c>
      <c r="C44" t="n">
        <v>-0.2</v>
      </c>
    </row>
    <row r="45" spans="1:4">
      <c r="B45" t="n">
        <v>-0.1</v>
      </c>
      <c r="C45" t="n">
        <v>0.4</v>
      </c>
    </row>
    <row r="48" spans="1:4">
      <c r="A48" s="4">
        <f>== Eigenvalue ===</f>
        <v/>
      </c>
    </row>
    <row r="49" spans="1:4">
      <c r="A49" t="s">
        <v>167</v>
      </c>
      <c r="B49" t="n">
        <v>7</v>
      </c>
    </row>
    <row r="50" spans="1:4">
      <c r="A50" t="s">
        <v>165</v>
      </c>
      <c r="B50" t="n">
        <v>10</v>
      </c>
    </row>
    <row r="53" spans="1:4">
      <c r="A53" t="s">
        <v>168</v>
      </c>
      <c r="B53" t="n">
        <v>9</v>
      </c>
    </row>
    <row r="55" spans="1:4">
      <c r="A55" t="s">
        <v>169</v>
      </c>
      <c r="B55" t="n">
        <v>5</v>
      </c>
    </row>
    <row r="56" spans="1:4">
      <c r="A56" t="s">
        <v>170</v>
      </c>
      <c r="B56" t="n">
        <v>2</v>
      </c>
    </row>
    <row r="61" spans="1:4">
      <c r="A61" t="s">
        <v>171</v>
      </c>
      <c r="B61" t="n">
        <v>0.8944</v>
      </c>
      <c r="C61" t="n">
        <v>0.4472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2026-01-20T07:58:59Z</dcterms:created>
  <dcterms:modified xmlns:dcterms="http://purl.org/dc/terms/" xmlns:xsi="http://www.w3.org/2001/XMLSchema-instance" xsi:type="dcterms:W3CDTF">2026-01-20T08:28:59Z</dcterms:modified>
</cp:coreProperties>
</file>