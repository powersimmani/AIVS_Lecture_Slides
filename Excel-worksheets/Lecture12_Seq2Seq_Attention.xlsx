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ihwankim/Downloads/Excel-worksheets 2/"/>
    </mc:Choice>
  </mc:AlternateContent>
  <xr:revisionPtr revIDLastSave="0" documentId="13_ncr:1_{23807A48-B0A0-3343-A550-BC2865E2C37E}" xr6:coauthVersionLast="47" xr6:coauthVersionMax="47" xr10:uidLastSave="{00000000-0000-0000-0000-000000000000}"/>
  <bookViews>
    <workbookView xWindow="4300" yWindow="680" windowWidth="29900" windowHeight="19580" activeTab="6" xr2:uid="{00000000-000D-0000-FFFF-FFFF00000000}"/>
  </bookViews>
  <sheets>
    <sheet name="Overview" sheetId="1" r:id="rId1"/>
    <sheet name="Encoder" sheetId="2" r:id="rId2"/>
    <sheet name="Attention_Mechanism" sheetId="3" r:id="rId3"/>
    <sheet name="Decoder_Attention" sheetId="4" r:id="rId4"/>
    <sheet name="Attention_Visualization" sheetId="5" r:id="rId5"/>
    <sheet name="Comparison" sheetId="6" r:id="rId6"/>
    <sheet name="Backward" sheetId="7" r:id="rId7"/>
    <sheet name="Answer_Key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8" i="7" l="1"/>
  <c r="F77" i="7"/>
  <c r="F76" i="7"/>
  <c r="D72" i="7"/>
  <c r="D71" i="7"/>
  <c r="D70" i="7"/>
  <c r="N38" i="7"/>
  <c r="N37" i="7"/>
  <c r="N36" i="7"/>
  <c r="D32" i="7"/>
  <c r="D31" i="7"/>
  <c r="D30" i="7"/>
</calcChain>
</file>

<file path=xl/sharedStrings.xml><?xml version="1.0" encoding="utf-8"?>
<sst xmlns="http://schemas.openxmlformats.org/spreadsheetml/2006/main" count="403" uniqueCount="262">
  <si>
    <t>[Description] Seq2Seq with Attention allows decoder to focus on relevant encoder states, solving the bottleneck problem.</t>
  </si>
  <si>
    <t>Seq2Seq + Attention (Bahdanau Attention)</t>
  </si>
  <si>
    <t>Original Seq2Seq limitation: Compressing long sequence into one fixed vector → Information loss</t>
  </si>
  <si>
    <t>Solution: Allow Decoder to 'reference' all Encoder states at each step</t>
  </si>
  <si>
    <t>═══ Original Seq2Seq vs Seq2Seq + Attention ═══</t>
  </si>
  <si>
    <t>Original Seq2Seq:</t>
  </si>
  <si>
    <t>Encoder: I → love → you → [Context Vector] → Decoder</t>
  </si>
  <si>
    <t xml:space="preserve">                              ↑ Only one fixed vector is passed</t>
  </si>
  <si>
    <t>Seq2Seq + Attention:</t>
  </si>
  <si>
    <t>Encoder: I → love → you</t>
  </si>
  <si>
    <t xml:space="preserve">         h₁    h₂    h₃   ← Store all hidden states</t>
  </si>
  <si>
    <t xml:space="preserve">          ↓     ↓     ↓</t>
  </si>
  <si>
    <t>Decoder: Decide where to look with attention at each step</t>
  </si>
  <si>
    <t>═══ Attention Mechanism (Bahdanau) ═══</t>
  </si>
  <si>
    <t>1. Alignment Score:</t>
  </si>
  <si>
    <t>e_{t,i} = v^T · tanh(W_a · s_{t-1} + U_a · h_i)</t>
  </si>
  <si>
    <t>2. Attention Weights:</t>
  </si>
  <si>
    <t>α_{t,i} = softmax(e_{t,i})</t>
  </si>
  <si>
    <t>3. Context Vector:</t>
  </si>
  <si>
    <t>c_t = Σ α_{t,i} · h_i</t>
  </si>
  <si>
    <t>4. Decoder Input:</t>
  </si>
  <si>
    <t>s_t = tanh(W·e_t + U·s_{t-1} + C·c_t + b)</t>
  </si>
  <si>
    <t>═══ Architecture Diagram ═══</t>
  </si>
  <si>
    <t>ENCODER</t>
  </si>
  <si>
    <t>I</t>
  </si>
  <si>
    <t>love</t>
  </si>
  <si>
    <t>you</t>
  </si>
  <si>
    <t>↓</t>
  </si>
  <si>
    <t>h₁</t>
  </si>
  <si>
    <t>→</t>
  </si>
  <si>
    <t>h₂</t>
  </si>
  <si>
    <t>h₃</t>
  </si>
  <si>
    <t>↘</t>
  </si>
  <si>
    <t>↙</t>
  </si>
  <si>
    <t>Attention</t>
  </si>
  <si>
    <t>DECODER</t>
  </si>
  <si>
    <t>c_t</t>
  </si>
  <si>
    <t>+</t>
  </si>
  <si>
    <t>s_{t-1}</t>
  </si>
  <si>
    <t>s_t</t>
  </si>
  <si>
    <t>output</t>
  </si>
  <si>
    <t>[Description] Encoder processes source sequence and produces a sequence of hidden states (not just final state).</t>
  </si>
  <si>
    <t>Step 1: Encoder Forward Pass</t>
  </si>
  <si>
    <t>═══ Encoder Parameters ═══</t>
  </si>
  <si>
    <t>enc_Wxh (4×3):</t>
  </si>
  <si>
    <t>enc_Whh (3×3):</t>
  </si>
  <si>
    <t>enc_bh:</t>
  </si>
  <si>
    <t>═══ Input: 'I love you' ═══</t>
  </si>
  <si>
    <t>──── t=0: 'I' ────</t>
  </si>
  <si>
    <t>e_t =</t>
  </si>
  <si>
    <t>h_{t-1} =</t>
  </si>
  <si>
    <t>h_t =</t>
  </si>
  <si>
    <t>──── t=1: 'love' ────</t>
  </si>
  <si>
    <t>──── t=2: 'you' ────</t>
  </si>
  <si>
    <t>═══ Encoder Outputs (All Hidden States) ═══</t>
  </si>
  <si>
    <t>All these states are used in Decoder's Attention!</t>
  </si>
  <si>
    <t>h_1 ('I'):</t>
  </si>
  <si>
    <t>h_2 ('love'):</t>
  </si>
  <si>
    <t>h_3 ('you'):</t>
  </si>
  <si>
    <t>[Description] Attention computes relevance scores between decoder state and all encoder states using dot product or MLP.</t>
  </si>
  <si>
    <t>Step 2: Attention Mechanism (Detailed)</t>
  </si>
  <si>
    <t>═══ Attention Parameters ═══</t>
  </si>
  <si>
    <t>W_a (3×3):</t>
  </si>
  <si>
    <t>U_a (3×3):</t>
  </si>
  <si>
    <t>v_a (3):</t>
  </si>
  <si>
    <t>Encoder Outputs (h_1, h_2, h_3):</t>
  </si>
  <si>
    <t>═══ Example: Decoder Step t=0 ═══</t>
  </si>
  <si>
    <t>Decoder state s_{t-1} =</t>
  </si>
  <si>
    <t>──── Attention to h_1 ('I') ────</t>
  </si>
  <si>
    <t>① W_a · s_{t-1} =</t>
  </si>
  <si>
    <t>② U_a · h_1 =</t>
  </si>
  <si>
    <t>③ tanh(① + ②) =</t>
  </si>
  <si>
    <t>④ e = v^T · ③ =</t>
  </si>
  <si>
    <t>──── Attention to h_2 ('love') ────</t>
  </si>
  <si>
    <t>② U_a · h_2 =</t>
  </si>
  <si>
    <t>──── Attention to h_3 ('you') ────</t>
  </si>
  <si>
    <t>② U_a · h_3 =</t>
  </si>
  <si>
    <t>═══ Softmax → Attention Weights ═══</t>
  </si>
  <si>
    <t>Scores:</t>
  </si>
  <si>
    <t>e_1</t>
  </si>
  <si>
    <t>e_2</t>
  </si>
  <si>
    <t>e_3</t>
  </si>
  <si>
    <t>Attention α:</t>
  </si>
  <si>
    <t>'I'</t>
  </si>
  <si>
    <t>'love'</t>
  </si>
  <si>
    <t>'you'</t>
  </si>
  <si>
    <t>33.0%</t>
  </si>
  <si>
    <t>34.2%</t>
  </si>
  <si>
    <t>32.8%</t>
  </si>
  <si>
    <t>═══ Context Vector ═══</t>
  </si>
  <si>
    <t>c_t = Σ α_i · h_i</t>
  </si>
  <si>
    <t>c[0] = 0.33×0.09 + 0.342×0.343 + 0.328×-0.014 = 0.1425</t>
  </si>
  <si>
    <t>c[1] = 0.33×-0.07 + 0.342×-0.053 + 0.328×0.182 = 0.0186</t>
  </si>
  <si>
    <t>c[2] = 0.33×0.235 + 0.342×0.273 + 0.328×-0.021 = 0.1645</t>
  </si>
  <si>
    <t>Context c_t =</t>
  </si>
  <si>
    <t>[Description] Decoder uses attention-weighted context vector at each step, enabling dynamic focus on source.</t>
  </si>
  <si>
    <t>Step 3: Decoder with Attention (All Steps)</t>
  </si>
  <si>
    <t>═══ Decoder Step t=0: Input='&lt;SOS&gt;' → Target='I' ═══</t>
  </si>
  <si>
    <t>s_{t-1} =</t>
  </si>
  <si>
    <t>Attention Weights:</t>
  </si>
  <si>
    <t>α('I')</t>
  </si>
  <si>
    <t>α('love')</t>
  </si>
  <si>
    <t>α('you')</t>
  </si>
  <si>
    <t>s_t = tanh(W·e + U·s_{t-1} + C·c_t + b):</t>
  </si>
  <si>
    <t>s_t =</t>
  </si>
  <si>
    <t>Output Probabilities:</t>
  </si>
  <si>
    <t>&lt;PAD&gt;</t>
  </si>
  <si>
    <t>&lt;SOS&gt;</t>
  </si>
  <si>
    <t>&lt;EOS&gt;</t>
  </si>
  <si>
    <t xml:space="preserve"> ← Target</t>
  </si>
  <si>
    <t>Prediction: '&lt;PAD&gt;' ✗</t>
  </si>
  <si>
    <t>═══ Decoder Step t=1: Input='I' → Target='you' ═══</t>
  </si>
  <si>
    <t>═══ Decoder Step t=2: Input='you' → Target='love' ═══</t>
  </si>
  <si>
    <t>Prediction: '&lt;SOS&gt;' ✗</t>
  </si>
  <si>
    <t>═══ Decoder Step t=3: Input='love' → Target='&lt;EOS&gt;' ═══</t>
  </si>
  <si>
    <t>[Description] Attention weights show alignment between source and target - interpretable translation process.</t>
  </si>
  <si>
    <t>Attention Weights Visualization (Alignment)</t>
  </si>
  <si>
    <t>Visualize which Encoder positions Decoder attends to at each step</t>
  </si>
  <si>
    <t>═══ Attention Matrix ═══</t>
  </si>
  <si>
    <t>Decoder↓ Encoder→</t>
  </si>
  <si>
    <t>t=0 '&lt;SOS&gt;'</t>
  </si>
  <si>
    <t>t=1 'I'</t>
  </si>
  <si>
    <t>t=2 'you'</t>
  </si>
  <si>
    <t>t=3 'love'</t>
  </si>
  <si>
    <t>═══ Interpretation ═══</t>
  </si>
  <si>
    <t>• High attention weight = More attention to that encoder position</t>
  </si>
  <si>
    <t>• High attention to 'I' when generating 'I' → Subject correspondence</t>
  </si>
  <si>
    <t>• High attention to 'love' when generating 'love' → Verb correspondence</t>
  </si>
  <si>
    <t>• High attention to 'you' when generating 'you' → Object correspondence</t>
  </si>
  <si>
    <t>• This alignment learns the 'correspondence' in translation</t>
  </si>
  <si>
    <t>• Key idea of Neural Machine Translation!</t>
  </si>
  <si>
    <t>═══ Visual Alignment ═══</t>
  </si>
  <si>
    <t>Source:</t>
  </si>
  <si>
    <t>Alignment:</t>
  </si>
  <si>
    <t>←→</t>
  </si>
  <si>
    <t>[Description] Compare with vanilla Seq2Seq: Attention eliminates information bottleneck and improves long sequence handling.</t>
  </si>
  <si>
    <t>Basic Seq2Seq vs Seq2Seq + Attention</t>
  </si>
  <si>
    <t>Basic Seq2Seq</t>
  </si>
  <si>
    <t>Seq2Seq + Attention</t>
  </si>
  <si>
    <t>Context Vector</t>
  </si>
  <si>
    <t>Fixed (using only last h)</t>
  </si>
  <si>
    <t>Dynamic (calculated each step)</t>
  </si>
  <si>
    <t>Long sequence</t>
  </si>
  <si>
    <t>Severe information loss</t>
  </si>
  <si>
    <t>Can reference all positions</t>
  </si>
  <si>
    <t>Interpretability</t>
  </si>
  <si>
    <t>Black box</t>
  </si>
  <si>
    <t>Visualize with Attention</t>
  </si>
  <si>
    <t>Computation</t>
  </si>
  <si>
    <t>Less</t>
  </si>
  <si>
    <t>O(n²) additional</t>
  </si>
  <si>
    <t>Performance</t>
  </si>
  <si>
    <t>Basic</t>
  </si>
  <si>
    <t>Much better</t>
  </si>
  <si>
    <t>═══ Historical Note ═══</t>
  </si>
  <si>
    <t>• 2014: Seq2Seq (Sutskever et al.) - Basic Encoder-Decoder</t>
  </si>
  <si>
    <t>• 2015: Attention (Bahdanau et al.) - Dynamic context vector</t>
  </si>
  <si>
    <t>• 2017: Transformer (Vaswani et al.) - Using only Self-Attention</t>
  </si>
  <si>
    <t>Attention mechanism is a key technology in modern NLP!</t>
  </si>
  <si>
    <t>[Description] Backprop through attention: Gradients flow to both encoder states and attention weights.</t>
  </si>
  <si>
    <t>Seq2Seq + Attention Backward Pass - Original → Gradient → Updated</t>
  </si>
  <si>
    <t>Learning Rate: 0.1</t>
  </si>
  <si>
    <t>═══ 1. Decoder Output Layer Gradients (t=3: love→&lt;EOS&gt;) ═══</t>
  </si>
  <si>
    <t>Target: '&lt;EOS&gt;' (index=2)</t>
  </si>
  <si>
    <t>Predicted probs: [0.2024, 0.1648, 0.1296, 0.1933, 0.1375, 0.1723]</t>
  </si>
  <si>
    <t>dL/d_logits = softmax(logits) - one_hot(target):</t>
  </si>
  <si>
    <t>← Target</t>
  </si>
  <si>
    <t>dec_Why Update (first 3 rows):</t>
  </si>
  <si>
    <t>Original</t>
  </si>
  <si>
    <t>Gradient</t>
  </si>
  <si>
    <t>Updated</t>
  </si>
  <si>
    <t>═══ 2. Gradient to Decoder Hidden State ═══</t>
  </si>
  <si>
    <t>dL/ds_t = dec_Why^T @ dL/d_logits:</t>
  </si>
  <si>
    <t xml:space="preserve">  dL/ds[0]</t>
  </si>
  <si>
    <t xml:space="preserve">  dL/ds[1]</t>
  </si>
  <si>
    <t xml:space="preserve">  dL/ds[2]</t>
  </si>
  <si>
    <t>dL/dz_s = dL/ds_t ⊙ (1 - s_t²)  [tanh derivative]:</t>
  </si>
  <si>
    <t xml:space="preserve">  dL/dz[0]</t>
  </si>
  <si>
    <t>'= 0.3502 × (1 - 0.3687²)</t>
  </si>
  <si>
    <t xml:space="preserve">  dL/dz[1]</t>
  </si>
  <si>
    <t>'= -0.0079 × (1 - -0.0845²)</t>
  </si>
  <si>
    <t xml:space="preserve">  dL/dz[2]</t>
  </si>
  <si>
    <t>'= -0.286 × (1 - 0.0069²)</t>
  </si>
  <si>
    <t>═══ 3. Decoder RNN Weight Gradients ═══</t>
  </si>
  <si>
    <t>dec_Wxh Update:</t>
  </si>
  <si>
    <t>Wxh[0]</t>
  </si>
  <si>
    <t>Wxh[1]</t>
  </si>
  <si>
    <t>Wxh[2]</t>
  </si>
  <si>
    <t>Wxh[3]</t>
  </si>
  <si>
    <t>dec_Whh Update:</t>
  </si>
  <si>
    <t>Whh[0]</t>
  </si>
  <si>
    <t>Whh[1]</t>
  </si>
  <si>
    <t>Whh[2]</t>
  </si>
  <si>
    <t>═══ 4. Context Projection (W_c) Gradients ═══</t>
  </si>
  <si>
    <t>W_c Update (context → hidden):</t>
  </si>
  <si>
    <t>W_c[0]</t>
  </si>
  <si>
    <t>W_c[1]</t>
  </si>
  <si>
    <t>W_c[2]</t>
  </si>
  <si>
    <t>═══ 5. Attention Mechanism Gradients ═══</t>
  </si>
  <si>
    <t>dL/d_context = W_c^T @ dL/dz_s:</t>
  </si>
  <si>
    <t xml:space="preserve">  [0]</t>
  </si>
  <si>
    <t xml:space="preserve">  [1]</t>
  </si>
  <si>
    <t xml:space="preserve">  [2]</t>
  </si>
  <si>
    <t>dL/dα (attention weights gradient):</t>
  </si>
  <si>
    <t xml:space="preserve">  dL/dα('I')</t>
  </si>
  <si>
    <t xml:space="preserve">  dL/dα('love')</t>
  </si>
  <si>
    <t xml:space="preserve">  dL/dα('you')</t>
  </si>
  <si>
    <t>v_a Update (attention vector):</t>
  </si>
  <si>
    <t>Original:</t>
  </si>
  <si>
    <t>Gradient:</t>
  </si>
  <si>
    <t>Updated:</t>
  </si>
  <si>
    <t>═══ 6. Encoder Gradients (through Attention) ═══</t>
  </si>
  <si>
    <t>dL/dh_i (encoder hidden) = α_i × dL/d_context:</t>
  </si>
  <si>
    <t xml:space="preserve">  dL/dh ('I'):</t>
  </si>
  <si>
    <t xml:space="preserve">  dL/dh ('love'):</t>
  </si>
  <si>
    <t xml:space="preserve">  dL/dh ('you'):</t>
  </si>
  <si>
    <t>These gradients are BPTT to each Encoder timestep</t>
  </si>
  <si>
    <t>═══ Seq2Seq + Attention Gradient Flow Summary ═══</t>
  </si>
  <si>
    <t>1. Calculate Loss (Cross-Entropy at each Decoder timestep)</t>
  </si>
  <si>
    <t>2. Calculate Decoder Output Layer (dec_Why, dec_by) gradient</t>
  </si>
  <si>
    <t>3. Backpropagate gradient to Decoder Hidden State (s_t)</t>
  </si>
  <si>
    <t>4. Calculate Decoder RNN (dec_Wxh, dec_Whh, dec_bh) gradient</t>
  </si>
  <si>
    <t>5. Backpropagate gradient to Context Vector (c_t)</t>
  </si>
  <si>
    <t>6. Calculate Context Projection (W_c) gradient</t>
  </si>
  <si>
    <t>7. Backpropagate gradient to Attention Weights (α)</t>
  </si>
  <si>
    <t>8. Calculate Attention Parameters (W_a, U_a, v_a) gradient</t>
  </si>
  <si>
    <t>9. Backpropagate gradient to Encoder Hidden States (h_i)</t>
  </si>
  <si>
    <t>10. BPTT to Encoder RNN</t>
  </si>
  <si>
    <t>※ Attention gradient propagates to all encoder positions</t>
  </si>
  <si>
    <t>※ This is Attention's advantage: More direct gradient flow!</t>
  </si>
  <si>
    <t>[Description] Reference solutions for self-checking your calculations.</t>
  </si>
  <si>
    <t>Answer Key</t>
  </si>
  <si>
    <t>Encoder Hidden States:</t>
  </si>
  <si>
    <t>[0.0898, -0.0699, 0.2355]</t>
  </si>
  <si>
    <t>[0.3429, -0.0528, 0.273]</t>
  </si>
  <si>
    <t>[-0.014, 0.1824, -0.0206]</t>
  </si>
  <si>
    <t>Attention Weights per Decoder Step:</t>
  </si>
  <si>
    <t>t=0 ('&lt;SOS&gt;'):</t>
  </si>
  <si>
    <t>'I':33.0%, 'love':34.2%, 'you':32.8%</t>
  </si>
  <si>
    <t>t=1 ('I'):</t>
  </si>
  <si>
    <t>t=2 ('you'):</t>
  </si>
  <si>
    <t>t=3 ('love'):</t>
  </si>
  <si>
    <t>Context Vectors:</t>
  </si>
  <si>
    <t>c_0:</t>
  </si>
  <si>
    <t>[0.1425, 0.0186, 0.1645]</t>
  </si>
  <si>
    <t>c_1:</t>
  </si>
  <si>
    <t>c_2:</t>
  </si>
  <si>
    <t>c_3:</t>
  </si>
  <si>
    <t>Decoder Hidden States:</t>
  </si>
  <si>
    <t>s_1:</t>
  </si>
  <si>
    <t>[0.1108, 0.1516, 0.0632]</t>
  </si>
  <si>
    <t>s_2:</t>
  </si>
  <si>
    <t>[0.2249, -0.0075, 0.2322]</t>
  </si>
  <si>
    <t>s_3:</t>
  </si>
  <si>
    <t>[0.0533, 0.3506, 0.0359]</t>
  </si>
  <si>
    <t>s_4:</t>
  </si>
  <si>
    <t>[0.3687, -0.0845, 0.0069]</t>
  </si>
  <si>
    <t>Predictions:</t>
  </si>
  <si>
    <t>t=0: pred='&lt;PAD&gt;' target='I' ✗</t>
  </si>
  <si>
    <t>t=1: pred='&lt;PAD&gt;' target='you' ✗</t>
  </si>
  <si>
    <t>t=2: pred='&lt;SOS&gt;' target='love' ✗</t>
  </si>
  <si>
    <t>t=3: pred='&lt;PAD&gt;' target='&lt;EOS&gt;' 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</si>
</sst>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i/>
      <sz val="10"/>
      <color rgb="FF50505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B4C6E7"/>
        <bgColor rgb="FFB4C6E7"/>
      </patternFill>
    </fill>
    <fill>
      <patternFill patternType="solid">
        <fgColor rgb="FFC5E0B4"/>
        <bgColor rgb="FFC5E0B4"/>
      </patternFill>
    </fill>
    <fill>
      <patternFill patternType="solid">
        <fgColor rgb="FFFFE4B5"/>
        <bgColor rgb="FFFFE4B5"/>
      </patternFill>
    </fill>
    <fill>
      <patternFill patternType="solid">
        <fgColor rgb="FFFFFACD"/>
        <bgColor rgb="FFFFFACD"/>
      </patternFill>
    </fill>
    <fill>
      <patternFill patternType="solid">
        <fgColor rgb="FFFFD966"/>
        <bgColor rgb="FFFFD966"/>
      </patternFill>
    </fill>
    <fill>
      <patternFill patternType="solid">
        <fgColor rgb="FFF4B183"/>
        <bgColor rgb="FFF4B183"/>
      </patternFill>
    </fill>
    <fill>
      <patternFill patternType="solid">
        <fgColor rgb="FFDAEEF3"/>
        <bgColor rgb="FFDAEEF3"/>
      </patternFill>
    </fill>
    <fill>
      <patternFill patternType="solid">
        <fgColor rgb="FFE4DFEC"/>
        <bgColor rgb="FFE4DFEC"/>
      </patternFill>
    </fill>
    <fill>
      <patternFill patternType="solid">
        <fgColor rgb="FFFDE9D9"/>
        <bgColor rgb="FFFDE9D9"/>
      </patternFill>
    </fill>
    <fill>
      <patternFill patternType="solid">
        <fgColor rgb="FFF0F8FF"/>
        <bgColor rgb="FFF0F8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5" borderId="0" xfId="0" applyFill="1"/>
    <xf numFmtId="0" fontId="0" fillId="7" borderId="0" xfId="0" applyFill="1"/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8" borderId="0" xfId="0" applyFill="1"/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0" xfId="0" applyFill="1"/>
    <xf numFmtId="0" fontId="0" fillId="8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/>
    <xf numFmtId="0" fontId="0" fillId="11" borderId="0" xfId="0" applyFill="1"/>
    <xf numFmtId="0" fontId="0" fillId="4" borderId="0" xfId="0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" fillId="14" borderId="0" xfId="0" applyFont="1" applyFill="1" applyAlignment="1">
      <alignment wrapText="1"/>
    </xf>
    <xf numFmtId="0" fontId="0" fillId="0" borderId="0" xfId="0"/>
    <xf numFmtId="0" fontId="0" fillId="7" borderId="1" xfId="0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9"/>
  <sheetViews>
    <sheetView workbookViewId="0">
      <selection activeCell="C18" sqref="C18"/>
    </sheetView>
  </sheetViews>
  <sheetFormatPr baseColWidth="10" defaultColWidth="8.83203125" defaultRowHeight="15" x14ac:dyDescent="0.2"/>
  <cols>
    <col min="1" max="1" width="12" customWidth="1"/>
    <col min="2" max="2" width="84.33203125" customWidth="1"/>
    <col min="3" max="5" width="12" customWidth="1"/>
    <col min="6" max="6" width="36.5" customWidth="1"/>
    <col min="7" max="8" width="12" customWidth="1"/>
    <col min="9" max="24" width="7" customWidth="1"/>
  </cols>
  <sheetData>
    <row r="1" spans="1:31" x14ac:dyDescent="0.2">
      <c r="A1" s="36" t="s">
        <v>0</v>
      </c>
      <c r="B1" s="37"/>
      <c r="C1" s="37"/>
      <c r="D1" s="37"/>
      <c r="E1" s="37"/>
      <c r="F1" s="37"/>
      <c r="G1" s="37"/>
      <c r="H1" s="37"/>
      <c r="I1" s="37"/>
      <c r="J1" s="37"/>
    </row>
    <row r="2" spans="1:31" x14ac:dyDescent="0.2">
      <c r="B2" s="41" t="s">
        <v>1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40"/>
    </row>
    <row r="4" spans="1:31" x14ac:dyDescent="0.2">
      <c r="B4" s="2" t="s">
        <v>2</v>
      </c>
    </row>
    <row r="5" spans="1:31" x14ac:dyDescent="0.2">
      <c r="B5" s="3" t="s">
        <v>3</v>
      </c>
    </row>
    <row r="8" spans="1:31" x14ac:dyDescent="0.2">
      <c r="B8" s="41" t="s">
        <v>4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40"/>
    </row>
    <row r="10" spans="1:31" x14ac:dyDescent="0.2">
      <c r="B10" s="4" t="s">
        <v>5</v>
      </c>
    </row>
    <row r="11" spans="1:31" x14ac:dyDescent="0.2">
      <c r="B11" t="s">
        <v>6</v>
      </c>
    </row>
    <row r="12" spans="1:31" x14ac:dyDescent="0.2">
      <c r="B12" s="2" t="s">
        <v>7</v>
      </c>
    </row>
    <row r="14" spans="1:31" x14ac:dyDescent="0.2">
      <c r="B14" s="5" t="s">
        <v>8</v>
      </c>
    </row>
    <row r="15" spans="1:31" x14ac:dyDescent="0.2">
      <c r="B15" t="s">
        <v>9</v>
      </c>
    </row>
    <row r="16" spans="1:31" x14ac:dyDescent="0.2">
      <c r="B16" s="6" t="s">
        <v>10</v>
      </c>
    </row>
    <row r="17" spans="2:20" x14ac:dyDescent="0.2">
      <c r="B17" t="s">
        <v>11</v>
      </c>
    </row>
    <row r="18" spans="2:20" x14ac:dyDescent="0.2">
      <c r="B18" s="7" t="s">
        <v>12</v>
      </c>
    </row>
    <row r="21" spans="2:20" x14ac:dyDescent="0.2">
      <c r="B21" s="42" t="s">
        <v>13</v>
      </c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40"/>
    </row>
    <row r="23" spans="2:20" x14ac:dyDescent="0.2">
      <c r="B23" s="9" t="s">
        <v>14</v>
      </c>
      <c r="F23" s="10" t="s">
        <v>15</v>
      </c>
    </row>
    <row r="24" spans="2:20" x14ac:dyDescent="0.2">
      <c r="B24" s="9" t="s">
        <v>16</v>
      </c>
      <c r="F24" s="10" t="s">
        <v>17</v>
      </c>
    </row>
    <row r="25" spans="2:20" x14ac:dyDescent="0.2">
      <c r="B25" s="9" t="s">
        <v>18</v>
      </c>
      <c r="F25" s="10" t="s">
        <v>19</v>
      </c>
    </row>
    <row r="26" spans="2:20" x14ac:dyDescent="0.2">
      <c r="B26" s="9" t="s">
        <v>20</v>
      </c>
      <c r="F26" s="10" t="s">
        <v>21</v>
      </c>
    </row>
    <row r="29" spans="2:20" x14ac:dyDescent="0.2">
      <c r="B29" s="41" t="s">
        <v>22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40"/>
    </row>
    <row r="31" spans="2:20" x14ac:dyDescent="0.2">
      <c r="B31" s="4" t="s">
        <v>23</v>
      </c>
    </row>
    <row r="32" spans="2:20" x14ac:dyDescent="0.2">
      <c r="B32" s="11" t="s">
        <v>24</v>
      </c>
      <c r="D32" s="11" t="s">
        <v>25</v>
      </c>
      <c r="F32" s="11" t="s">
        <v>26</v>
      </c>
    </row>
    <row r="33" spans="2:8" x14ac:dyDescent="0.2">
      <c r="B33" s="12" t="s">
        <v>27</v>
      </c>
      <c r="D33" s="12" t="s">
        <v>27</v>
      </c>
      <c r="F33" s="12" t="s">
        <v>27</v>
      </c>
    </row>
    <row r="34" spans="2:8" x14ac:dyDescent="0.2">
      <c r="B34" s="11" t="s">
        <v>28</v>
      </c>
      <c r="C34" s="12" t="s">
        <v>29</v>
      </c>
      <c r="D34" s="11" t="s">
        <v>30</v>
      </c>
      <c r="E34" s="12" t="s">
        <v>29</v>
      </c>
      <c r="F34" s="11" t="s">
        <v>31</v>
      </c>
    </row>
    <row r="35" spans="2:8" x14ac:dyDescent="0.2">
      <c r="B35" s="12" t="s">
        <v>32</v>
      </c>
      <c r="D35" s="12" t="s">
        <v>27</v>
      </c>
      <c r="F35" s="12" t="s">
        <v>33</v>
      </c>
    </row>
    <row r="36" spans="2:8" x14ac:dyDescent="0.2">
      <c r="C36" s="38" t="s">
        <v>34</v>
      </c>
      <c r="D36" s="39"/>
      <c r="E36" s="40"/>
    </row>
    <row r="37" spans="2:8" x14ac:dyDescent="0.2">
      <c r="D37" s="12" t="s">
        <v>27</v>
      </c>
    </row>
    <row r="38" spans="2:8" x14ac:dyDescent="0.2">
      <c r="B38" s="5" t="s">
        <v>35</v>
      </c>
    </row>
    <row r="39" spans="2:8" x14ac:dyDescent="0.2">
      <c r="B39" s="14" t="s">
        <v>36</v>
      </c>
      <c r="C39" s="12" t="s">
        <v>37</v>
      </c>
      <c r="D39" s="15" t="s">
        <v>38</v>
      </c>
      <c r="E39" s="12" t="s">
        <v>29</v>
      </c>
      <c r="F39" s="15" t="s">
        <v>39</v>
      </c>
      <c r="G39" s="12" t="s">
        <v>29</v>
      </c>
      <c r="H39" s="16" t="s">
        <v>40</v>
      </c>
    </row>
  </sheetData>
  <mergeCells count="6">
    <mergeCell ref="A1:J1"/>
    <mergeCell ref="C36:E36"/>
    <mergeCell ref="B8:T8"/>
    <mergeCell ref="B2:AE2"/>
    <mergeCell ref="B21:T21"/>
    <mergeCell ref="B29:T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1"/>
  <sheetViews>
    <sheetView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38.33203125" customWidth="1"/>
    <col min="3" max="7" width="12" customWidth="1"/>
    <col min="8" max="14" width="9" customWidth="1"/>
  </cols>
  <sheetData>
    <row r="1" spans="1:20" x14ac:dyDescent="0.2">
      <c r="A1" s="36" t="s">
        <v>41</v>
      </c>
      <c r="B1" s="37"/>
      <c r="C1" s="37"/>
      <c r="D1" s="37"/>
      <c r="E1" s="37"/>
      <c r="F1" s="37"/>
      <c r="G1" s="37"/>
      <c r="H1" s="37"/>
      <c r="I1" s="37"/>
      <c r="J1" s="37"/>
    </row>
    <row r="2" spans="1:20" x14ac:dyDescent="0.2">
      <c r="B2" s="43" t="s">
        <v>42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40"/>
    </row>
    <row r="4" spans="1:20" x14ac:dyDescent="0.2">
      <c r="B4" s="41" t="s">
        <v>43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</row>
    <row r="6" spans="1:20" x14ac:dyDescent="0.2">
      <c r="B6" s="4" t="s">
        <v>44</v>
      </c>
    </row>
    <row r="7" spans="1:20" x14ac:dyDescent="0.2">
      <c r="B7" s="11">
        <v>0.2</v>
      </c>
      <c r="C7" s="11">
        <v>-0.1</v>
      </c>
      <c r="D7" s="11">
        <v>0.3</v>
      </c>
    </row>
    <row r="8" spans="1:20" x14ac:dyDescent="0.2">
      <c r="B8" s="11">
        <v>0.1</v>
      </c>
      <c r="C8" s="11">
        <v>0.3</v>
      </c>
      <c r="D8" s="11">
        <v>-0.2</v>
      </c>
    </row>
    <row r="9" spans="1:20" x14ac:dyDescent="0.2">
      <c r="B9" s="11">
        <v>-0.2</v>
      </c>
      <c r="C9" s="11">
        <v>0.2</v>
      </c>
      <c r="D9" s="11">
        <v>0.1</v>
      </c>
    </row>
    <row r="10" spans="1:20" x14ac:dyDescent="0.2">
      <c r="B10" s="11">
        <v>0.3</v>
      </c>
      <c r="C10" s="11">
        <v>-0.1</v>
      </c>
      <c r="D10" s="11">
        <v>0.2</v>
      </c>
    </row>
    <row r="12" spans="1:20" x14ac:dyDescent="0.2">
      <c r="B12" s="4" t="s">
        <v>45</v>
      </c>
      <c r="F12" s="4" t="s">
        <v>46</v>
      </c>
    </row>
    <row r="13" spans="1:20" x14ac:dyDescent="0.2">
      <c r="B13" s="11">
        <v>0.2</v>
      </c>
      <c r="C13" s="11">
        <v>-0.1</v>
      </c>
      <c r="D13" s="11">
        <v>0.1</v>
      </c>
      <c r="F13" s="11">
        <v>0.1</v>
      </c>
    </row>
    <row r="14" spans="1:20" x14ac:dyDescent="0.2">
      <c r="B14" s="11">
        <v>0.1</v>
      </c>
      <c r="C14" s="11">
        <v>0.3</v>
      </c>
      <c r="D14" s="11">
        <v>-0.2</v>
      </c>
      <c r="F14" s="11">
        <v>-0.05</v>
      </c>
    </row>
    <row r="15" spans="1:20" x14ac:dyDescent="0.2">
      <c r="B15" s="11">
        <v>-0.1</v>
      </c>
      <c r="C15" s="11">
        <v>0.2</v>
      </c>
      <c r="D15" s="11">
        <v>0.2</v>
      </c>
      <c r="F15" s="11">
        <v>0.05</v>
      </c>
    </row>
    <row r="18" spans="2:14" x14ac:dyDescent="0.2">
      <c r="B18" s="43" t="s">
        <v>47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40"/>
    </row>
    <row r="20" spans="2:14" x14ac:dyDescent="0.2">
      <c r="B20" s="43" t="s">
        <v>48</v>
      </c>
      <c r="C20" s="39"/>
      <c r="D20" s="39"/>
      <c r="E20" s="39"/>
      <c r="F20" s="39"/>
      <c r="G20" s="39"/>
      <c r="H20" s="39"/>
      <c r="I20" s="39"/>
      <c r="J20" s="40"/>
    </row>
    <row r="21" spans="2:14" x14ac:dyDescent="0.2">
      <c r="B21" s="17" t="s">
        <v>49</v>
      </c>
      <c r="D21" s="17">
        <v>0.3</v>
      </c>
      <c r="E21" s="17">
        <v>-0.2</v>
      </c>
      <c r="F21" s="17">
        <v>0.4</v>
      </c>
      <c r="G21" s="17">
        <v>0.1</v>
      </c>
    </row>
    <row r="22" spans="2:14" x14ac:dyDescent="0.2">
      <c r="B22" s="18" t="s">
        <v>50</v>
      </c>
      <c r="D22" s="18">
        <v>0</v>
      </c>
      <c r="E22" s="18">
        <v>0</v>
      </c>
      <c r="F22" s="18">
        <v>0</v>
      </c>
    </row>
    <row r="23" spans="2:14" x14ac:dyDescent="0.2">
      <c r="B23" s="4" t="s">
        <v>51</v>
      </c>
      <c r="D23" s="11">
        <v>8.9800000000000005E-2</v>
      </c>
      <c r="E23" s="11">
        <v>-6.9900000000000004E-2</v>
      </c>
      <c r="F23" s="11">
        <v>0.23549999999999999</v>
      </c>
    </row>
    <row r="25" spans="2:14" x14ac:dyDescent="0.2">
      <c r="B25" s="43" t="s">
        <v>52</v>
      </c>
      <c r="C25" s="39"/>
      <c r="D25" s="39"/>
      <c r="E25" s="39"/>
      <c r="F25" s="39"/>
      <c r="G25" s="39"/>
      <c r="H25" s="39"/>
      <c r="I25" s="39"/>
      <c r="J25" s="40"/>
    </row>
    <row r="26" spans="2:14" x14ac:dyDescent="0.2">
      <c r="B26" s="17" t="s">
        <v>49</v>
      </c>
      <c r="D26" s="17">
        <v>0.5</v>
      </c>
      <c r="E26" s="17">
        <v>0.3</v>
      </c>
      <c r="F26" s="17">
        <v>-0.1</v>
      </c>
      <c r="G26" s="17">
        <v>0.4</v>
      </c>
    </row>
    <row r="27" spans="2:14" x14ac:dyDescent="0.2">
      <c r="B27" s="18" t="s">
        <v>50</v>
      </c>
      <c r="D27" s="18">
        <v>8.9800000000000005E-2</v>
      </c>
      <c r="E27" s="18">
        <v>-6.9900000000000004E-2</v>
      </c>
      <c r="F27" s="18">
        <v>0.23549999999999999</v>
      </c>
    </row>
    <row r="28" spans="2:14" x14ac:dyDescent="0.2">
      <c r="B28" s="4" t="s">
        <v>51</v>
      </c>
      <c r="D28" s="11">
        <v>0.34289999999999998</v>
      </c>
      <c r="E28" s="11">
        <v>-5.28E-2</v>
      </c>
      <c r="F28" s="11">
        <v>0.27300000000000002</v>
      </c>
    </row>
    <row r="30" spans="2:14" x14ac:dyDescent="0.2">
      <c r="B30" s="43" t="s">
        <v>53</v>
      </c>
      <c r="C30" s="39"/>
      <c r="D30" s="39"/>
      <c r="E30" s="39"/>
      <c r="F30" s="39"/>
      <c r="G30" s="39"/>
      <c r="H30" s="39"/>
      <c r="I30" s="39"/>
      <c r="J30" s="40"/>
    </row>
    <row r="31" spans="2:14" x14ac:dyDescent="0.2">
      <c r="B31" s="17" t="s">
        <v>49</v>
      </c>
      <c r="D31" s="17">
        <v>-0.2</v>
      </c>
      <c r="E31" s="17">
        <v>0.4</v>
      </c>
      <c r="F31" s="17">
        <v>0.3</v>
      </c>
      <c r="G31" s="17">
        <v>-0.3</v>
      </c>
    </row>
    <row r="32" spans="2:14" x14ac:dyDescent="0.2">
      <c r="B32" s="18" t="s">
        <v>50</v>
      </c>
      <c r="D32" s="18">
        <v>0.34289999999999998</v>
      </c>
      <c r="E32" s="18">
        <v>-5.28E-2</v>
      </c>
      <c r="F32" s="18">
        <v>0.27300000000000002</v>
      </c>
    </row>
    <row r="33" spans="2:14" x14ac:dyDescent="0.2">
      <c r="B33" s="4" t="s">
        <v>51</v>
      </c>
      <c r="D33" s="11">
        <v>-1.4E-2</v>
      </c>
      <c r="E33" s="11">
        <v>0.18240000000000001</v>
      </c>
      <c r="F33" s="11">
        <v>-2.06E-2</v>
      </c>
    </row>
    <row r="35" spans="2:14" x14ac:dyDescent="0.2">
      <c r="B35" s="44" t="s">
        <v>54</v>
      </c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40"/>
    </row>
    <row r="37" spans="2:14" x14ac:dyDescent="0.2">
      <c r="B37" s="20" t="s">
        <v>55</v>
      </c>
    </row>
    <row r="39" spans="2:14" x14ac:dyDescent="0.2">
      <c r="B39" s="4" t="s">
        <v>56</v>
      </c>
      <c r="E39" s="11">
        <v>8.9800000000000005E-2</v>
      </c>
      <c r="F39" s="11">
        <v>-6.9900000000000004E-2</v>
      </c>
      <c r="G39" s="11">
        <v>0.23549999999999999</v>
      </c>
    </row>
    <row r="40" spans="2:14" x14ac:dyDescent="0.2">
      <c r="B40" s="4" t="s">
        <v>57</v>
      </c>
      <c r="E40" s="11">
        <v>0.34289999999999998</v>
      </c>
      <c r="F40" s="11">
        <v>-5.28E-2</v>
      </c>
      <c r="G40" s="11">
        <v>0.27300000000000002</v>
      </c>
    </row>
    <row r="41" spans="2:14" x14ac:dyDescent="0.2">
      <c r="B41" s="4" t="s">
        <v>58</v>
      </c>
      <c r="E41" s="11">
        <v>-1.4E-2</v>
      </c>
      <c r="F41" s="11">
        <v>0.18240000000000001</v>
      </c>
      <c r="G41" s="11">
        <v>-2.06E-2</v>
      </c>
    </row>
  </sheetData>
  <mergeCells count="8">
    <mergeCell ref="B25:J25"/>
    <mergeCell ref="A1:J1"/>
    <mergeCell ref="B20:J20"/>
    <mergeCell ref="B35:N35"/>
    <mergeCell ref="B4:N4"/>
    <mergeCell ref="B18:N18"/>
    <mergeCell ref="B2:T2"/>
    <mergeCell ref="B30:J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5"/>
  <sheetViews>
    <sheetView topLeftCell="A4"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26.83203125" customWidth="1"/>
    <col min="3" max="12" width="12" customWidth="1"/>
    <col min="13" max="19" width="9" customWidth="1"/>
  </cols>
  <sheetData>
    <row r="1" spans="1:34" x14ac:dyDescent="0.2">
      <c r="A1" s="36" t="s">
        <v>59</v>
      </c>
      <c r="B1" s="37"/>
      <c r="C1" s="37"/>
      <c r="D1" s="37"/>
      <c r="E1" s="37"/>
      <c r="F1" s="37"/>
      <c r="G1" s="37"/>
      <c r="H1" s="37"/>
      <c r="I1" s="37"/>
      <c r="J1" s="37"/>
    </row>
    <row r="2" spans="1:34" x14ac:dyDescent="0.2">
      <c r="B2" s="42" t="s">
        <v>60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40"/>
    </row>
    <row r="4" spans="1:34" x14ac:dyDescent="0.2">
      <c r="B4" s="41" t="s">
        <v>61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40"/>
    </row>
    <row r="6" spans="1:34" x14ac:dyDescent="0.2">
      <c r="B6" s="8" t="s">
        <v>62</v>
      </c>
      <c r="G6" s="8" t="s">
        <v>63</v>
      </c>
      <c r="L6" s="8" t="s">
        <v>64</v>
      </c>
    </row>
    <row r="7" spans="1:34" x14ac:dyDescent="0.2">
      <c r="B7" s="13">
        <v>0.2</v>
      </c>
      <c r="C7" s="13">
        <v>-0.1</v>
      </c>
      <c r="D7" s="13">
        <v>0.1</v>
      </c>
      <c r="G7" s="13">
        <v>0.1</v>
      </c>
      <c r="H7" s="13">
        <v>0.2</v>
      </c>
      <c r="I7" s="13">
        <v>-0.1</v>
      </c>
      <c r="L7" s="13">
        <v>0.3</v>
      </c>
    </row>
    <row r="8" spans="1:34" x14ac:dyDescent="0.2">
      <c r="B8" s="13">
        <v>0.1</v>
      </c>
      <c r="C8" s="13">
        <v>0.2</v>
      </c>
      <c r="D8" s="13">
        <v>-0.2</v>
      </c>
      <c r="G8" s="13">
        <v>-0.2</v>
      </c>
      <c r="H8" s="13">
        <v>0.1</v>
      </c>
      <c r="I8" s="13">
        <v>0.2</v>
      </c>
      <c r="L8" s="13">
        <v>-0.2</v>
      </c>
    </row>
    <row r="9" spans="1:34" x14ac:dyDescent="0.2">
      <c r="B9" s="13">
        <v>-0.1</v>
      </c>
      <c r="C9" s="13">
        <v>0.1</v>
      </c>
      <c r="D9" s="13">
        <v>0.3</v>
      </c>
      <c r="G9" s="13">
        <v>0.2</v>
      </c>
      <c r="H9" s="13">
        <v>-0.1</v>
      </c>
      <c r="I9" s="13">
        <v>0.1</v>
      </c>
      <c r="L9" s="13">
        <v>0.4</v>
      </c>
    </row>
    <row r="12" spans="1:34" x14ac:dyDescent="0.2">
      <c r="B12" s="4" t="s">
        <v>65</v>
      </c>
    </row>
    <row r="13" spans="1:34" x14ac:dyDescent="0.2">
      <c r="B13" s="11" t="s">
        <v>56</v>
      </c>
      <c r="E13" s="11">
        <v>8.9800000000000005E-2</v>
      </c>
      <c r="F13" s="11">
        <v>-6.9900000000000004E-2</v>
      </c>
      <c r="G13" s="11">
        <v>0.23549999999999999</v>
      </c>
    </row>
    <row r="14" spans="1:34" x14ac:dyDescent="0.2">
      <c r="B14" s="11" t="s">
        <v>57</v>
      </c>
      <c r="E14" s="11">
        <v>0.34289999999999998</v>
      </c>
      <c r="F14" s="11">
        <v>-5.28E-2</v>
      </c>
      <c r="G14" s="11">
        <v>0.27300000000000002</v>
      </c>
    </row>
    <row r="15" spans="1:34" x14ac:dyDescent="0.2">
      <c r="B15" s="11" t="s">
        <v>58</v>
      </c>
      <c r="E15" s="11">
        <v>-1.4E-2</v>
      </c>
      <c r="F15" s="11">
        <v>0.18240000000000001</v>
      </c>
      <c r="G15" s="11">
        <v>-2.06E-2</v>
      </c>
    </row>
    <row r="18" spans="2:20" x14ac:dyDescent="0.2">
      <c r="B18" s="45" t="s">
        <v>66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40"/>
    </row>
    <row r="20" spans="2:20" x14ac:dyDescent="0.2">
      <c r="B20" s="5" t="s">
        <v>67</v>
      </c>
      <c r="F20" s="15">
        <v>-1.4E-2</v>
      </c>
      <c r="G20" s="15">
        <v>0.18240000000000001</v>
      </c>
      <c r="H20" s="15">
        <v>-2.06E-2</v>
      </c>
    </row>
    <row r="22" spans="2:20" x14ac:dyDescent="0.2">
      <c r="B22" s="43" t="s">
        <v>68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40"/>
    </row>
    <row r="23" spans="2:20" x14ac:dyDescent="0.2">
      <c r="B23" s="13" t="s">
        <v>69</v>
      </c>
      <c r="F23" s="13">
        <v>-2.3099999999999999E-2</v>
      </c>
      <c r="G23" s="13">
        <v>3.9199999999999999E-2</v>
      </c>
      <c r="H23" s="13">
        <v>1.35E-2</v>
      </c>
    </row>
    <row r="24" spans="2:20" x14ac:dyDescent="0.2">
      <c r="B24" s="13" t="s">
        <v>70</v>
      </c>
      <c r="F24" s="13">
        <v>-2.86E-2</v>
      </c>
      <c r="G24" s="13">
        <v>2.2200000000000001E-2</v>
      </c>
      <c r="H24" s="13">
        <v>4.8500000000000001E-2</v>
      </c>
    </row>
    <row r="25" spans="2:20" x14ac:dyDescent="0.2">
      <c r="B25" s="13" t="s">
        <v>71</v>
      </c>
      <c r="F25" s="13">
        <v>-5.16E-2</v>
      </c>
      <c r="G25" s="13">
        <v>6.13E-2</v>
      </c>
      <c r="H25" s="13">
        <v>6.1899999999999997E-2</v>
      </c>
    </row>
    <row r="26" spans="2:20" x14ac:dyDescent="0.2">
      <c r="B26" s="9" t="s">
        <v>72</v>
      </c>
      <c r="F26" s="21">
        <v>-3.0000000000000001E-3</v>
      </c>
    </row>
    <row r="28" spans="2:20" x14ac:dyDescent="0.2">
      <c r="B28" s="43" t="s">
        <v>73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40"/>
    </row>
    <row r="29" spans="2:20" x14ac:dyDescent="0.2">
      <c r="B29" s="13" t="s">
        <v>69</v>
      </c>
      <c r="F29" s="13">
        <v>-2.3099999999999999E-2</v>
      </c>
      <c r="G29" s="13">
        <v>3.9199999999999999E-2</v>
      </c>
      <c r="H29" s="13">
        <v>1.35E-2</v>
      </c>
    </row>
    <row r="30" spans="2:20" x14ac:dyDescent="0.2">
      <c r="B30" s="13" t="s">
        <v>74</v>
      </c>
      <c r="F30" s="13">
        <v>-3.5999999999999999E-3</v>
      </c>
      <c r="G30" s="13">
        <v>-1.9300000000000001E-2</v>
      </c>
      <c r="H30" s="13">
        <v>0.1012</v>
      </c>
    </row>
    <row r="31" spans="2:20" x14ac:dyDescent="0.2">
      <c r="B31" s="13" t="s">
        <v>71</v>
      </c>
      <c r="F31" s="13">
        <v>-2.6599999999999999E-2</v>
      </c>
      <c r="G31" s="13">
        <v>1.9900000000000001E-2</v>
      </c>
      <c r="H31" s="13">
        <v>0.11409999999999999</v>
      </c>
    </row>
    <row r="32" spans="2:20" x14ac:dyDescent="0.2">
      <c r="B32" s="9" t="s">
        <v>72</v>
      </c>
      <c r="F32" s="21">
        <v>3.3700000000000001E-2</v>
      </c>
    </row>
    <row r="34" spans="2:14" x14ac:dyDescent="0.2">
      <c r="B34" s="43" t="s">
        <v>75</v>
      </c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40"/>
    </row>
    <row r="35" spans="2:14" x14ac:dyDescent="0.2">
      <c r="B35" s="13" t="s">
        <v>69</v>
      </c>
      <c r="F35" s="13">
        <v>-2.3099999999999999E-2</v>
      </c>
      <c r="G35" s="13">
        <v>3.9199999999999999E-2</v>
      </c>
      <c r="H35" s="13">
        <v>1.35E-2</v>
      </c>
    </row>
    <row r="36" spans="2:14" x14ac:dyDescent="0.2">
      <c r="B36" s="13" t="s">
        <v>76</v>
      </c>
      <c r="F36" s="13">
        <v>3.7100000000000001E-2</v>
      </c>
      <c r="G36" s="13">
        <v>1.6899999999999998E-2</v>
      </c>
      <c r="H36" s="13">
        <v>-2.3099999999999999E-2</v>
      </c>
    </row>
    <row r="37" spans="2:14" x14ac:dyDescent="0.2">
      <c r="B37" s="13" t="s">
        <v>71</v>
      </c>
      <c r="F37" s="13">
        <v>1.4E-2</v>
      </c>
      <c r="G37" s="13">
        <v>5.6099999999999997E-2</v>
      </c>
      <c r="H37" s="13">
        <v>-9.5999999999999992E-3</v>
      </c>
    </row>
    <row r="38" spans="2:14" x14ac:dyDescent="0.2">
      <c r="B38" s="9" t="s">
        <v>72</v>
      </c>
      <c r="F38" s="21">
        <v>-1.0800000000000001E-2</v>
      </c>
    </row>
    <row r="40" spans="2:14" x14ac:dyDescent="0.2">
      <c r="B40" s="41" t="s">
        <v>77</v>
      </c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40"/>
    </row>
    <row r="42" spans="2:14" x14ac:dyDescent="0.2">
      <c r="B42" s="21" t="s">
        <v>78</v>
      </c>
      <c r="D42" s="21" t="s">
        <v>79</v>
      </c>
      <c r="F42" s="21" t="s">
        <v>80</v>
      </c>
      <c r="H42" s="21" t="s">
        <v>81</v>
      </c>
    </row>
    <row r="43" spans="2:14" x14ac:dyDescent="0.2">
      <c r="D43" s="21">
        <v>-3.0000000000000001E-3</v>
      </c>
      <c r="F43" s="21">
        <v>3.3700000000000001E-2</v>
      </c>
      <c r="H43" s="21">
        <v>-1.0800000000000001E-2</v>
      </c>
    </row>
    <row r="45" spans="2:14" x14ac:dyDescent="0.2">
      <c r="B45" s="8" t="s">
        <v>82</v>
      </c>
      <c r="D45" s="18" t="s">
        <v>83</v>
      </c>
      <c r="F45" s="18" t="s">
        <v>84</v>
      </c>
      <c r="H45" s="18" t="s">
        <v>85</v>
      </c>
    </row>
    <row r="46" spans="2:14" x14ac:dyDescent="0.2">
      <c r="D46" s="13" t="s">
        <v>86</v>
      </c>
      <c r="F46" s="13" t="s">
        <v>87</v>
      </c>
      <c r="H46" s="13" t="s">
        <v>88</v>
      </c>
    </row>
    <row r="48" spans="2:14" x14ac:dyDescent="0.2">
      <c r="B48" s="44" t="s">
        <v>89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40"/>
    </row>
    <row r="50" spans="2:7" x14ac:dyDescent="0.2">
      <c r="B50" s="20" t="s">
        <v>90</v>
      </c>
    </row>
    <row r="51" spans="2:7" x14ac:dyDescent="0.2">
      <c r="B51" t="s">
        <v>91</v>
      </c>
    </row>
    <row r="52" spans="2:7" x14ac:dyDescent="0.2">
      <c r="B52" t="s">
        <v>92</v>
      </c>
    </row>
    <row r="53" spans="2:7" x14ac:dyDescent="0.2">
      <c r="B53" t="s">
        <v>93</v>
      </c>
    </row>
    <row r="55" spans="2:7" x14ac:dyDescent="0.2">
      <c r="B55" s="19" t="s">
        <v>94</v>
      </c>
      <c r="E55" s="14">
        <v>0.14249999999999999</v>
      </c>
      <c r="F55" s="14">
        <v>1.8599999999999998E-2</v>
      </c>
      <c r="G55" s="14">
        <v>0.16450000000000001</v>
      </c>
    </row>
  </sheetData>
  <mergeCells count="9">
    <mergeCell ref="B48:N48"/>
    <mergeCell ref="B34:N34"/>
    <mergeCell ref="B28:N28"/>
    <mergeCell ref="B22:N22"/>
    <mergeCell ref="A1:J1"/>
    <mergeCell ref="B4:N4"/>
    <mergeCell ref="B40:N40"/>
    <mergeCell ref="B2:AH2"/>
    <mergeCell ref="B18:T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01"/>
  <sheetViews>
    <sheetView workbookViewId="0">
      <selection sqref="A1:J1"/>
    </sheetView>
  </sheetViews>
  <sheetFormatPr baseColWidth="10" defaultColWidth="8.83203125" defaultRowHeight="15" x14ac:dyDescent="0.2"/>
  <cols>
    <col min="1" max="1" width="12" customWidth="1"/>
    <col min="2" max="2" width="31.6640625" customWidth="1"/>
    <col min="3" max="7" width="12" customWidth="1"/>
    <col min="8" max="19" width="9" customWidth="1"/>
  </cols>
  <sheetData>
    <row r="1" spans="1:34" x14ac:dyDescent="0.2">
      <c r="A1" s="36" t="s">
        <v>95</v>
      </c>
      <c r="B1" s="37"/>
      <c r="C1" s="37"/>
      <c r="D1" s="37"/>
      <c r="E1" s="37"/>
      <c r="F1" s="37"/>
      <c r="G1" s="37"/>
      <c r="H1" s="37"/>
      <c r="I1" s="37"/>
      <c r="J1" s="37"/>
    </row>
    <row r="2" spans="1:34" x14ac:dyDescent="0.2">
      <c r="B2" s="45" t="s">
        <v>96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40"/>
    </row>
    <row r="4" spans="1:34" x14ac:dyDescent="0.2">
      <c r="B4" s="45" t="s">
        <v>97</v>
      </c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40"/>
    </row>
    <row r="6" spans="1:34" x14ac:dyDescent="0.2">
      <c r="B6" s="15" t="s">
        <v>98</v>
      </c>
      <c r="E6" s="15">
        <v>-1.4E-2</v>
      </c>
      <c r="F6" s="15">
        <v>0.18240000000000001</v>
      </c>
      <c r="G6" s="15">
        <v>-2.06E-2</v>
      </c>
    </row>
    <row r="8" spans="1:34" x14ac:dyDescent="0.2">
      <c r="B8" s="8" t="s">
        <v>99</v>
      </c>
    </row>
    <row r="9" spans="1:34" x14ac:dyDescent="0.2">
      <c r="B9" s="11" t="s">
        <v>100</v>
      </c>
      <c r="E9" s="13" t="s">
        <v>86</v>
      </c>
    </row>
    <row r="10" spans="1:34" x14ac:dyDescent="0.2">
      <c r="B10" s="11" t="s">
        <v>101</v>
      </c>
      <c r="E10" s="13" t="s">
        <v>87</v>
      </c>
    </row>
    <row r="11" spans="1:34" x14ac:dyDescent="0.2">
      <c r="B11" s="11" t="s">
        <v>102</v>
      </c>
      <c r="E11" s="13" t="s">
        <v>88</v>
      </c>
    </row>
    <row r="13" spans="1:34" x14ac:dyDescent="0.2">
      <c r="B13" s="19" t="s">
        <v>94</v>
      </c>
      <c r="E13" s="14">
        <v>0.14249999999999999</v>
      </c>
      <c r="F13" s="14">
        <v>1.8599999999999998E-2</v>
      </c>
      <c r="G13" s="14">
        <v>0.16450000000000001</v>
      </c>
    </row>
    <row r="15" spans="1:34" x14ac:dyDescent="0.2">
      <c r="B15" s="5" t="s">
        <v>103</v>
      </c>
    </row>
    <row r="16" spans="1:34" x14ac:dyDescent="0.2">
      <c r="B16" s="15" t="s">
        <v>104</v>
      </c>
      <c r="D16" s="15">
        <v>0.1108</v>
      </c>
      <c r="E16" s="15">
        <v>0.15160000000000001</v>
      </c>
      <c r="F16" s="15">
        <v>6.3200000000000006E-2</v>
      </c>
    </row>
    <row r="18" spans="2:22" x14ac:dyDescent="0.2">
      <c r="B18" s="22" t="s">
        <v>105</v>
      </c>
    </row>
    <row r="19" spans="2:22" x14ac:dyDescent="0.2">
      <c r="B19" s="18" t="s">
        <v>106</v>
      </c>
      <c r="D19" s="23">
        <v>0.1782</v>
      </c>
    </row>
    <row r="20" spans="2:22" x14ac:dyDescent="0.2">
      <c r="B20" s="18" t="s">
        <v>107</v>
      </c>
      <c r="D20" s="24">
        <v>0.17249999999999999</v>
      </c>
    </row>
    <row r="21" spans="2:22" x14ac:dyDescent="0.2">
      <c r="B21" s="18" t="s">
        <v>108</v>
      </c>
      <c r="D21" s="24">
        <v>0.14380000000000001</v>
      </c>
    </row>
    <row r="22" spans="2:22" x14ac:dyDescent="0.2">
      <c r="B22" s="18" t="s">
        <v>24</v>
      </c>
      <c r="D22" s="24">
        <v>0.17780000000000001</v>
      </c>
      <c r="F22" s="25" t="s">
        <v>109</v>
      </c>
    </row>
    <row r="23" spans="2:22" x14ac:dyDescent="0.2">
      <c r="B23" s="18" t="s">
        <v>26</v>
      </c>
      <c r="D23" s="24">
        <v>0.157</v>
      </c>
    </row>
    <row r="24" spans="2:22" x14ac:dyDescent="0.2">
      <c r="B24" s="18" t="s">
        <v>25</v>
      </c>
      <c r="D24" s="24">
        <v>0.17069999999999999</v>
      </c>
    </row>
    <row r="26" spans="2:22" x14ac:dyDescent="0.2">
      <c r="B26" s="26" t="s">
        <v>110</v>
      </c>
    </row>
    <row r="29" spans="2:22" x14ac:dyDescent="0.2">
      <c r="B29" s="45" t="s">
        <v>111</v>
      </c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40"/>
    </row>
    <row r="31" spans="2:22" x14ac:dyDescent="0.2">
      <c r="B31" s="15" t="s">
        <v>98</v>
      </c>
      <c r="E31" s="15">
        <v>0.1108</v>
      </c>
      <c r="F31" s="15">
        <v>0.15160000000000001</v>
      </c>
      <c r="G31" s="15">
        <v>6.3200000000000006E-2</v>
      </c>
    </row>
    <row r="33" spans="2:7" x14ac:dyDescent="0.2">
      <c r="B33" s="8" t="s">
        <v>99</v>
      </c>
    </row>
    <row r="34" spans="2:7" x14ac:dyDescent="0.2">
      <c r="B34" s="11" t="s">
        <v>100</v>
      </c>
      <c r="E34" s="13" t="s">
        <v>86</v>
      </c>
    </row>
    <row r="35" spans="2:7" x14ac:dyDescent="0.2">
      <c r="B35" s="11" t="s">
        <v>101</v>
      </c>
      <c r="E35" s="13" t="s">
        <v>87</v>
      </c>
    </row>
    <row r="36" spans="2:7" x14ac:dyDescent="0.2">
      <c r="B36" s="11" t="s">
        <v>102</v>
      </c>
      <c r="E36" s="13" t="s">
        <v>88</v>
      </c>
    </row>
    <row r="38" spans="2:7" x14ac:dyDescent="0.2">
      <c r="B38" s="19" t="s">
        <v>94</v>
      </c>
      <c r="E38" s="14">
        <v>0.14249999999999999</v>
      </c>
      <c r="F38" s="14">
        <v>1.8599999999999998E-2</v>
      </c>
      <c r="G38" s="14">
        <v>0.16450000000000001</v>
      </c>
    </row>
    <row r="40" spans="2:7" x14ac:dyDescent="0.2">
      <c r="B40" s="5" t="s">
        <v>103</v>
      </c>
    </row>
    <row r="41" spans="2:7" x14ac:dyDescent="0.2">
      <c r="B41" s="15" t="s">
        <v>104</v>
      </c>
      <c r="D41" s="15">
        <v>0.22489999999999999</v>
      </c>
      <c r="E41" s="15">
        <v>-7.4999999999999997E-3</v>
      </c>
      <c r="F41" s="15">
        <v>0.23219999999999999</v>
      </c>
    </row>
    <row r="43" spans="2:7" x14ac:dyDescent="0.2">
      <c r="B43" s="22" t="s">
        <v>105</v>
      </c>
    </row>
    <row r="44" spans="2:7" x14ac:dyDescent="0.2">
      <c r="B44" s="18" t="s">
        <v>106</v>
      </c>
      <c r="D44" s="23">
        <v>0.1988</v>
      </c>
    </row>
    <row r="45" spans="2:7" x14ac:dyDescent="0.2">
      <c r="B45" s="18" t="s">
        <v>107</v>
      </c>
      <c r="D45" s="24">
        <v>0.1605</v>
      </c>
    </row>
    <row r="46" spans="2:7" x14ac:dyDescent="0.2">
      <c r="B46" s="18" t="s">
        <v>108</v>
      </c>
      <c r="D46" s="24">
        <v>0.1452</v>
      </c>
    </row>
    <row r="47" spans="2:7" x14ac:dyDescent="0.2">
      <c r="B47" s="18" t="s">
        <v>24</v>
      </c>
      <c r="D47" s="24">
        <v>0.1898</v>
      </c>
    </row>
    <row r="48" spans="2:7" x14ac:dyDescent="0.2">
      <c r="B48" s="18" t="s">
        <v>26</v>
      </c>
      <c r="D48" s="24">
        <v>0.14530000000000001</v>
      </c>
      <c r="F48" s="25" t="s">
        <v>109</v>
      </c>
    </row>
    <row r="49" spans="2:22" x14ac:dyDescent="0.2">
      <c r="B49" s="18" t="s">
        <v>25</v>
      </c>
      <c r="D49" s="24">
        <v>0.1605</v>
      </c>
    </row>
    <row r="51" spans="2:22" x14ac:dyDescent="0.2">
      <c r="B51" s="26" t="s">
        <v>110</v>
      </c>
    </row>
    <row r="54" spans="2:22" x14ac:dyDescent="0.2">
      <c r="B54" s="45" t="s">
        <v>112</v>
      </c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40"/>
    </row>
    <row r="56" spans="2:22" x14ac:dyDescent="0.2">
      <c r="B56" s="15" t="s">
        <v>98</v>
      </c>
      <c r="E56" s="15">
        <v>0.22489999999999999</v>
      </c>
      <c r="F56" s="15">
        <v>-7.4999999999999997E-3</v>
      </c>
      <c r="G56" s="15">
        <v>0.23219999999999999</v>
      </c>
    </row>
    <row r="58" spans="2:22" x14ac:dyDescent="0.2">
      <c r="B58" s="8" t="s">
        <v>99</v>
      </c>
    </row>
    <row r="59" spans="2:22" x14ac:dyDescent="0.2">
      <c r="B59" s="11" t="s">
        <v>100</v>
      </c>
      <c r="E59" s="13" t="s">
        <v>86</v>
      </c>
    </row>
    <row r="60" spans="2:22" x14ac:dyDescent="0.2">
      <c r="B60" s="11" t="s">
        <v>101</v>
      </c>
      <c r="E60" s="13" t="s">
        <v>87</v>
      </c>
    </row>
    <row r="61" spans="2:22" x14ac:dyDescent="0.2">
      <c r="B61" s="11" t="s">
        <v>102</v>
      </c>
      <c r="E61" s="13" t="s">
        <v>88</v>
      </c>
    </row>
    <row r="63" spans="2:22" x14ac:dyDescent="0.2">
      <c r="B63" s="19" t="s">
        <v>94</v>
      </c>
      <c r="E63" s="14">
        <v>0.14249999999999999</v>
      </c>
      <c r="F63" s="14">
        <v>1.8599999999999998E-2</v>
      </c>
      <c r="G63" s="14">
        <v>0.16450000000000001</v>
      </c>
    </row>
    <row r="65" spans="2:22" x14ac:dyDescent="0.2">
      <c r="B65" s="5" t="s">
        <v>103</v>
      </c>
    </row>
    <row r="66" spans="2:22" x14ac:dyDescent="0.2">
      <c r="B66" s="15" t="s">
        <v>104</v>
      </c>
      <c r="D66" s="15">
        <v>5.33E-2</v>
      </c>
      <c r="E66" s="15">
        <v>0.35060000000000002</v>
      </c>
      <c r="F66" s="15">
        <v>3.5900000000000001E-2</v>
      </c>
    </row>
    <row r="68" spans="2:22" x14ac:dyDescent="0.2">
      <c r="B68" s="22" t="s">
        <v>105</v>
      </c>
    </row>
    <row r="69" spans="2:22" x14ac:dyDescent="0.2">
      <c r="B69" s="18" t="s">
        <v>106</v>
      </c>
      <c r="D69" s="24">
        <v>0.16389999999999999</v>
      </c>
    </row>
    <row r="70" spans="2:22" x14ac:dyDescent="0.2">
      <c r="B70" s="18" t="s">
        <v>107</v>
      </c>
      <c r="D70" s="23">
        <v>0.1802</v>
      </c>
    </row>
    <row r="71" spans="2:22" x14ac:dyDescent="0.2">
      <c r="B71" s="18" t="s">
        <v>108</v>
      </c>
      <c r="D71" s="24">
        <v>0.1449</v>
      </c>
    </row>
    <row r="72" spans="2:22" x14ac:dyDescent="0.2">
      <c r="B72" s="18" t="s">
        <v>24</v>
      </c>
      <c r="D72" s="24">
        <v>0.16830000000000001</v>
      </c>
    </row>
    <row r="73" spans="2:22" x14ac:dyDescent="0.2">
      <c r="B73" s="18" t="s">
        <v>26</v>
      </c>
      <c r="D73" s="24">
        <v>0.16830000000000001</v>
      </c>
    </row>
    <row r="74" spans="2:22" x14ac:dyDescent="0.2">
      <c r="B74" s="18" t="s">
        <v>25</v>
      </c>
      <c r="D74" s="24">
        <v>0.17430000000000001</v>
      </c>
      <c r="F74" s="25" t="s">
        <v>109</v>
      </c>
    </row>
    <row r="76" spans="2:22" x14ac:dyDescent="0.2">
      <c r="B76" s="26" t="s">
        <v>113</v>
      </c>
    </row>
    <row r="79" spans="2:22" x14ac:dyDescent="0.2">
      <c r="B79" s="45" t="s">
        <v>114</v>
      </c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40"/>
    </row>
    <row r="81" spans="2:7" x14ac:dyDescent="0.2">
      <c r="B81" s="15" t="s">
        <v>98</v>
      </c>
      <c r="E81" s="15">
        <v>5.33E-2</v>
      </c>
      <c r="F81" s="15">
        <v>0.35060000000000002</v>
      </c>
      <c r="G81" s="15">
        <v>3.5900000000000001E-2</v>
      </c>
    </row>
    <row r="83" spans="2:7" x14ac:dyDescent="0.2">
      <c r="B83" s="8" t="s">
        <v>99</v>
      </c>
    </row>
    <row r="84" spans="2:7" x14ac:dyDescent="0.2">
      <c r="B84" s="11" t="s">
        <v>100</v>
      </c>
      <c r="E84" s="13" t="s">
        <v>86</v>
      </c>
    </row>
    <row r="85" spans="2:7" x14ac:dyDescent="0.2">
      <c r="B85" s="11" t="s">
        <v>101</v>
      </c>
      <c r="E85" s="13" t="s">
        <v>87</v>
      </c>
    </row>
    <row r="86" spans="2:7" x14ac:dyDescent="0.2">
      <c r="B86" s="11" t="s">
        <v>102</v>
      </c>
      <c r="E86" s="13" t="s">
        <v>88</v>
      </c>
    </row>
    <row r="88" spans="2:7" x14ac:dyDescent="0.2">
      <c r="B88" s="19" t="s">
        <v>94</v>
      </c>
      <c r="E88" s="14">
        <v>0.14249999999999999</v>
      </c>
      <c r="F88" s="14">
        <v>1.8599999999999998E-2</v>
      </c>
      <c r="G88" s="14">
        <v>0.16450000000000001</v>
      </c>
    </row>
    <row r="90" spans="2:7" x14ac:dyDescent="0.2">
      <c r="B90" s="5" t="s">
        <v>103</v>
      </c>
    </row>
    <row r="91" spans="2:7" x14ac:dyDescent="0.2">
      <c r="B91" s="15" t="s">
        <v>104</v>
      </c>
      <c r="D91" s="15">
        <v>0.36870000000000003</v>
      </c>
      <c r="E91" s="15">
        <v>-8.4500000000000006E-2</v>
      </c>
      <c r="F91" s="15">
        <v>6.8999999999999999E-3</v>
      </c>
    </row>
    <row r="93" spans="2:7" x14ac:dyDescent="0.2">
      <c r="B93" s="22" t="s">
        <v>105</v>
      </c>
    </row>
    <row r="94" spans="2:7" x14ac:dyDescent="0.2">
      <c r="B94" s="18" t="s">
        <v>106</v>
      </c>
      <c r="D94" s="23">
        <v>0.2024</v>
      </c>
    </row>
    <row r="95" spans="2:7" x14ac:dyDescent="0.2">
      <c r="B95" s="18" t="s">
        <v>107</v>
      </c>
      <c r="D95" s="24">
        <v>0.1648</v>
      </c>
    </row>
    <row r="96" spans="2:7" x14ac:dyDescent="0.2">
      <c r="B96" s="18" t="s">
        <v>108</v>
      </c>
      <c r="D96" s="24">
        <v>0.12959999999999999</v>
      </c>
      <c r="F96" s="25" t="s">
        <v>109</v>
      </c>
    </row>
    <row r="97" spans="2:4" x14ac:dyDescent="0.2">
      <c r="B97" s="18" t="s">
        <v>24</v>
      </c>
      <c r="D97" s="24">
        <v>0.1933</v>
      </c>
    </row>
    <row r="98" spans="2:4" x14ac:dyDescent="0.2">
      <c r="B98" s="18" t="s">
        <v>26</v>
      </c>
      <c r="D98" s="24">
        <v>0.13750000000000001</v>
      </c>
    </row>
    <row r="99" spans="2:4" x14ac:dyDescent="0.2">
      <c r="B99" s="18" t="s">
        <v>25</v>
      </c>
      <c r="D99" s="24">
        <v>0.17230000000000001</v>
      </c>
    </row>
    <row r="101" spans="2:4" x14ac:dyDescent="0.2">
      <c r="B101" s="26" t="s">
        <v>110</v>
      </c>
    </row>
  </sheetData>
  <mergeCells count="6">
    <mergeCell ref="A1:J1"/>
    <mergeCell ref="B54:V54"/>
    <mergeCell ref="B29:V29"/>
    <mergeCell ref="B2:AH2"/>
    <mergeCell ref="B79:V79"/>
    <mergeCell ref="B4:V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5"/>
  <sheetViews>
    <sheetView workbookViewId="0">
      <selection sqref="A1:J1"/>
    </sheetView>
  </sheetViews>
  <sheetFormatPr baseColWidth="10" defaultColWidth="8.83203125" defaultRowHeight="15" x14ac:dyDescent="0.2"/>
  <cols>
    <col min="1" max="10" width="12" customWidth="1"/>
    <col min="11" max="17" width="9" customWidth="1"/>
  </cols>
  <sheetData>
    <row r="1" spans="1:20" x14ac:dyDescent="0.2">
      <c r="A1" s="36" t="s">
        <v>115</v>
      </c>
      <c r="B1" s="37"/>
      <c r="C1" s="37"/>
      <c r="D1" s="37"/>
      <c r="E1" s="37"/>
      <c r="F1" s="37"/>
      <c r="G1" s="37"/>
      <c r="H1" s="37"/>
      <c r="I1" s="37"/>
      <c r="J1" s="37"/>
    </row>
    <row r="2" spans="1:20" x14ac:dyDescent="0.2">
      <c r="B2" s="42" t="s">
        <v>116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40"/>
    </row>
    <row r="4" spans="1:20" x14ac:dyDescent="0.2">
      <c r="B4" t="s">
        <v>117</v>
      </c>
    </row>
    <row r="7" spans="1:20" x14ac:dyDescent="0.2">
      <c r="B7" s="41" t="s">
        <v>118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40"/>
    </row>
    <row r="9" spans="1:20" x14ac:dyDescent="0.2">
      <c r="B9" s="1" t="s">
        <v>119</v>
      </c>
      <c r="D9" s="4" t="s">
        <v>83</v>
      </c>
      <c r="F9" s="4" t="s">
        <v>84</v>
      </c>
      <c r="H9" s="4" t="s">
        <v>85</v>
      </c>
    </row>
    <row r="10" spans="1:20" x14ac:dyDescent="0.2">
      <c r="B10" s="5" t="s">
        <v>120</v>
      </c>
      <c r="D10" s="21" t="s">
        <v>86</v>
      </c>
      <c r="F10" s="21" t="s">
        <v>87</v>
      </c>
      <c r="H10" s="21" t="s">
        <v>88</v>
      </c>
    </row>
    <row r="11" spans="1:20" x14ac:dyDescent="0.2">
      <c r="B11" s="5" t="s">
        <v>121</v>
      </c>
      <c r="D11" s="21" t="s">
        <v>86</v>
      </c>
      <c r="F11" s="21" t="s">
        <v>87</v>
      </c>
      <c r="H11" s="21" t="s">
        <v>88</v>
      </c>
    </row>
    <row r="12" spans="1:20" x14ac:dyDescent="0.2">
      <c r="B12" s="5" t="s">
        <v>122</v>
      </c>
      <c r="D12" s="21" t="s">
        <v>86</v>
      </c>
      <c r="F12" s="21" t="s">
        <v>87</v>
      </c>
      <c r="H12" s="21" t="s">
        <v>88</v>
      </c>
    </row>
    <row r="13" spans="1:20" x14ac:dyDescent="0.2">
      <c r="B13" s="5" t="s">
        <v>123</v>
      </c>
      <c r="D13" s="21" t="s">
        <v>86</v>
      </c>
      <c r="F13" s="21" t="s">
        <v>87</v>
      </c>
      <c r="H13" s="21" t="s">
        <v>88</v>
      </c>
    </row>
    <row r="17" spans="2:14" x14ac:dyDescent="0.2">
      <c r="B17" s="41" t="s">
        <v>124</v>
      </c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40"/>
    </row>
    <row r="19" spans="2:14" x14ac:dyDescent="0.2">
      <c r="B19" t="s">
        <v>125</v>
      </c>
    </row>
    <row r="20" spans="2:14" x14ac:dyDescent="0.2">
      <c r="B20" t="s">
        <v>126</v>
      </c>
    </row>
    <row r="21" spans="2:14" x14ac:dyDescent="0.2">
      <c r="B21" t="s">
        <v>127</v>
      </c>
    </row>
    <row r="22" spans="2:14" x14ac:dyDescent="0.2">
      <c r="B22" t="s">
        <v>128</v>
      </c>
    </row>
    <row r="24" spans="2:14" x14ac:dyDescent="0.2">
      <c r="B24" t="s">
        <v>129</v>
      </c>
    </row>
    <row r="25" spans="2:14" x14ac:dyDescent="0.2">
      <c r="B25" t="s">
        <v>130</v>
      </c>
    </row>
    <row r="28" spans="2:14" x14ac:dyDescent="0.2">
      <c r="B28" s="41" t="s">
        <v>131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40"/>
    </row>
    <row r="30" spans="2:14" x14ac:dyDescent="0.2">
      <c r="B30" s="4" t="s">
        <v>132</v>
      </c>
      <c r="D30" s="11" t="s">
        <v>24</v>
      </c>
      <c r="G30" s="11" t="s">
        <v>25</v>
      </c>
      <c r="J30" s="11" t="s">
        <v>26</v>
      </c>
    </row>
    <row r="32" spans="2:14" x14ac:dyDescent="0.2">
      <c r="B32" s="8" t="s">
        <v>133</v>
      </c>
    </row>
    <row r="33" spans="2:5" x14ac:dyDescent="0.2">
      <c r="B33" s="15" t="s">
        <v>83</v>
      </c>
      <c r="D33" s="27" t="s">
        <v>134</v>
      </c>
      <c r="E33" s="11" t="s">
        <v>83</v>
      </c>
    </row>
    <row r="34" spans="2:5" x14ac:dyDescent="0.2">
      <c r="B34" s="15" t="s">
        <v>85</v>
      </c>
      <c r="D34" s="27" t="s">
        <v>134</v>
      </c>
      <c r="E34" s="11" t="s">
        <v>85</v>
      </c>
    </row>
    <row r="35" spans="2:5" x14ac:dyDescent="0.2">
      <c r="B35" s="15" t="s">
        <v>84</v>
      </c>
      <c r="D35" s="27" t="s">
        <v>134</v>
      </c>
      <c r="E35" s="11" t="s">
        <v>84</v>
      </c>
    </row>
  </sheetData>
  <mergeCells count="5">
    <mergeCell ref="A1:J1"/>
    <mergeCell ref="B17:N17"/>
    <mergeCell ref="B7:N7"/>
    <mergeCell ref="B2:T2"/>
    <mergeCell ref="B28:N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8"/>
  <sheetViews>
    <sheetView workbookViewId="0">
      <selection activeCell="C8" sqref="C8"/>
    </sheetView>
  </sheetViews>
  <sheetFormatPr baseColWidth="10" defaultColWidth="8.83203125" defaultRowHeight="15" x14ac:dyDescent="0.2"/>
  <cols>
    <col min="1" max="1" width="12" customWidth="1"/>
    <col min="2" max="2" width="18.6640625" customWidth="1"/>
    <col min="3" max="12" width="12" customWidth="1"/>
    <col min="13" max="19" width="8" customWidth="1"/>
  </cols>
  <sheetData>
    <row r="1" spans="1:22" x14ac:dyDescent="0.2">
      <c r="A1" s="36" t="s">
        <v>135</v>
      </c>
      <c r="B1" s="37"/>
      <c r="C1" s="37"/>
      <c r="D1" s="37"/>
      <c r="E1" s="37"/>
      <c r="F1" s="37"/>
      <c r="G1" s="37"/>
      <c r="H1" s="37"/>
      <c r="I1" s="37"/>
      <c r="J1" s="37"/>
    </row>
    <row r="2" spans="1:22" x14ac:dyDescent="0.2">
      <c r="B2" s="41" t="s">
        <v>136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40"/>
    </row>
    <row r="4" spans="1:22" x14ac:dyDescent="0.2">
      <c r="B4" s="18"/>
      <c r="E4" s="48" t="s">
        <v>137</v>
      </c>
      <c r="F4" s="39"/>
      <c r="G4" s="39"/>
      <c r="H4" s="39"/>
      <c r="I4" s="39"/>
      <c r="J4" s="40"/>
      <c r="L4" s="49" t="s">
        <v>138</v>
      </c>
      <c r="M4" s="39"/>
      <c r="N4" s="39"/>
      <c r="O4" s="39"/>
      <c r="P4" s="39"/>
      <c r="Q4" s="40"/>
    </row>
    <row r="5" spans="1:22" x14ac:dyDescent="0.2">
      <c r="B5" s="1" t="s">
        <v>139</v>
      </c>
      <c r="E5" s="47" t="s">
        <v>140</v>
      </c>
      <c r="F5" s="39"/>
      <c r="G5" s="39"/>
      <c r="H5" s="39"/>
      <c r="I5" s="39"/>
      <c r="J5" s="40"/>
      <c r="L5" s="46" t="s">
        <v>141</v>
      </c>
      <c r="M5" s="39"/>
      <c r="N5" s="39"/>
      <c r="O5" s="39"/>
      <c r="P5" s="39"/>
      <c r="Q5" s="40"/>
    </row>
    <row r="6" spans="1:22" x14ac:dyDescent="0.2">
      <c r="B6" s="1" t="s">
        <v>142</v>
      </c>
      <c r="E6" s="47" t="s">
        <v>143</v>
      </c>
      <c r="F6" s="39"/>
      <c r="G6" s="39"/>
      <c r="H6" s="39"/>
      <c r="I6" s="39"/>
      <c r="J6" s="40"/>
      <c r="L6" s="46" t="s">
        <v>144</v>
      </c>
      <c r="M6" s="39"/>
      <c r="N6" s="39"/>
      <c r="O6" s="39"/>
      <c r="P6" s="39"/>
      <c r="Q6" s="40"/>
    </row>
    <row r="7" spans="1:22" x14ac:dyDescent="0.2">
      <c r="B7" s="1" t="s">
        <v>145</v>
      </c>
      <c r="E7" s="47" t="s">
        <v>146</v>
      </c>
      <c r="F7" s="39"/>
      <c r="G7" s="39"/>
      <c r="H7" s="39"/>
      <c r="I7" s="39"/>
      <c r="J7" s="40"/>
      <c r="L7" s="46" t="s">
        <v>147</v>
      </c>
      <c r="M7" s="39"/>
      <c r="N7" s="39"/>
      <c r="O7" s="39"/>
      <c r="P7" s="39"/>
      <c r="Q7" s="40"/>
    </row>
    <row r="8" spans="1:22" x14ac:dyDescent="0.2">
      <c r="B8" s="1" t="s">
        <v>148</v>
      </c>
      <c r="E8" s="47" t="s">
        <v>149</v>
      </c>
      <c r="F8" s="39"/>
      <c r="G8" s="39"/>
      <c r="H8" s="39"/>
      <c r="I8" s="39"/>
      <c r="J8" s="40"/>
      <c r="L8" s="46" t="s">
        <v>150</v>
      </c>
      <c r="M8" s="39"/>
      <c r="N8" s="39"/>
      <c r="O8" s="39"/>
      <c r="P8" s="39"/>
      <c r="Q8" s="40"/>
    </row>
    <row r="9" spans="1:22" x14ac:dyDescent="0.2">
      <c r="B9" s="1" t="s">
        <v>151</v>
      </c>
      <c r="E9" s="47" t="s">
        <v>152</v>
      </c>
      <c r="F9" s="39"/>
      <c r="G9" s="39"/>
      <c r="H9" s="39"/>
      <c r="I9" s="39"/>
      <c r="J9" s="40"/>
      <c r="L9" s="46" t="s">
        <v>153</v>
      </c>
      <c r="M9" s="39"/>
      <c r="N9" s="39"/>
      <c r="O9" s="39"/>
      <c r="P9" s="39"/>
      <c r="Q9" s="40"/>
    </row>
    <row r="12" spans="1:22" x14ac:dyDescent="0.2">
      <c r="B12" s="41" t="s">
        <v>154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40"/>
    </row>
    <row r="14" spans="1:22" x14ac:dyDescent="0.2">
      <c r="B14" t="s">
        <v>155</v>
      </c>
    </row>
    <row r="15" spans="1:22" x14ac:dyDescent="0.2">
      <c r="B15" t="s">
        <v>156</v>
      </c>
    </row>
    <row r="16" spans="1:22" x14ac:dyDescent="0.2">
      <c r="B16" t="s">
        <v>157</v>
      </c>
    </row>
    <row r="18" spans="2:2" x14ac:dyDescent="0.2">
      <c r="B18" t="s">
        <v>158</v>
      </c>
    </row>
  </sheetData>
  <mergeCells count="15">
    <mergeCell ref="A1:J1"/>
    <mergeCell ref="L7:Q7"/>
    <mergeCell ref="B12:P12"/>
    <mergeCell ref="B2:V2"/>
    <mergeCell ref="L5:Q5"/>
    <mergeCell ref="E5:J5"/>
    <mergeCell ref="E9:J9"/>
    <mergeCell ref="E8:J8"/>
    <mergeCell ref="L9:Q9"/>
    <mergeCell ref="L8:Q8"/>
    <mergeCell ref="E4:J4"/>
    <mergeCell ref="E6:J6"/>
    <mergeCell ref="L4:Q4"/>
    <mergeCell ref="L6:Q6"/>
    <mergeCell ref="E7:J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12"/>
  <sheetViews>
    <sheetView tabSelected="1" topLeftCell="A87" workbookViewId="0">
      <selection activeCell="L122" sqref="L122"/>
    </sheetView>
  </sheetViews>
  <sheetFormatPr baseColWidth="10" defaultColWidth="8.83203125" defaultRowHeight="15" x14ac:dyDescent="0.2"/>
  <cols>
    <col min="1" max="1" width="12" customWidth="1"/>
    <col min="2" max="2" width="45.5" customWidth="1"/>
    <col min="3" max="14" width="12" customWidth="1"/>
    <col min="15" max="19" width="8" customWidth="1"/>
  </cols>
  <sheetData>
    <row r="1" spans="1:34" x14ac:dyDescent="0.2">
      <c r="A1" s="36" t="s">
        <v>159</v>
      </c>
      <c r="B1" s="37"/>
      <c r="C1" s="37"/>
      <c r="D1" s="37"/>
      <c r="E1" s="37"/>
      <c r="F1" s="37"/>
      <c r="G1" s="37"/>
      <c r="H1" s="37"/>
      <c r="I1" s="37"/>
      <c r="J1" s="37"/>
    </row>
    <row r="2" spans="1:34" x14ac:dyDescent="0.2">
      <c r="B2" s="51" t="s">
        <v>160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40"/>
    </row>
    <row r="4" spans="1:34" x14ac:dyDescent="0.2">
      <c r="B4" s="31" t="s">
        <v>161</v>
      </c>
    </row>
    <row r="6" spans="1:34" x14ac:dyDescent="0.2">
      <c r="B6" s="50" t="s">
        <v>162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40"/>
    </row>
    <row r="8" spans="1:34" x14ac:dyDescent="0.2">
      <c r="B8" s="32" t="s">
        <v>163</v>
      </c>
    </row>
    <row r="9" spans="1:34" x14ac:dyDescent="0.2">
      <c r="B9" s="10" t="s">
        <v>164</v>
      </c>
    </row>
    <row r="11" spans="1:34" x14ac:dyDescent="0.2">
      <c r="B11" s="28" t="s">
        <v>165</v>
      </c>
    </row>
    <row r="12" spans="1:34" x14ac:dyDescent="0.2">
      <c r="B12" s="18" t="s">
        <v>106</v>
      </c>
      <c r="D12" s="30">
        <v>0.2024</v>
      </c>
    </row>
    <row r="13" spans="1:34" x14ac:dyDescent="0.2">
      <c r="B13" s="18" t="s">
        <v>107</v>
      </c>
      <c r="D13" s="30">
        <v>0.1648</v>
      </c>
    </row>
    <row r="14" spans="1:34" x14ac:dyDescent="0.2">
      <c r="B14" s="18" t="s">
        <v>108</v>
      </c>
      <c r="D14" s="30">
        <v>-0.87039999999999995</v>
      </c>
      <c r="F14" s="33" t="s">
        <v>166</v>
      </c>
    </row>
    <row r="15" spans="1:34" x14ac:dyDescent="0.2">
      <c r="B15" s="18" t="s">
        <v>24</v>
      </c>
      <c r="D15" s="30">
        <v>0.1933</v>
      </c>
    </row>
    <row r="16" spans="1:34" x14ac:dyDescent="0.2">
      <c r="B16" s="18" t="s">
        <v>26</v>
      </c>
      <c r="D16" s="30">
        <v>0.13750000000000001</v>
      </c>
    </row>
    <row r="17" spans="2:31" x14ac:dyDescent="0.2">
      <c r="B17" s="18" t="s">
        <v>25</v>
      </c>
      <c r="D17" s="30">
        <v>0.17230000000000001</v>
      </c>
    </row>
    <row r="20" spans="2:31" x14ac:dyDescent="0.2">
      <c r="B20" s="22" t="s">
        <v>167</v>
      </c>
    </row>
    <row r="21" spans="2:31" x14ac:dyDescent="0.2">
      <c r="B21" s="18"/>
      <c r="D21" s="22" t="s">
        <v>168</v>
      </c>
      <c r="H21" s="28" t="s">
        <v>169</v>
      </c>
      <c r="L21" s="29" t="s">
        <v>170</v>
      </c>
    </row>
    <row r="22" spans="2:31" x14ac:dyDescent="0.2">
      <c r="B22" s="18" t="s">
        <v>106</v>
      </c>
      <c r="D22" s="16">
        <v>0.4</v>
      </c>
      <c r="E22" s="16">
        <v>-0.2</v>
      </c>
      <c r="F22" s="16">
        <v>0.3</v>
      </c>
      <c r="H22" s="30">
        <v>7.46E-2</v>
      </c>
      <c r="I22" s="30">
        <v>-1.7100000000000001E-2</v>
      </c>
      <c r="J22" s="30">
        <v>1.4E-3</v>
      </c>
      <c r="L22" s="23">
        <v>0.39300000000000002</v>
      </c>
      <c r="M22" s="23">
        <v>-0.19800000000000001</v>
      </c>
      <c r="N22" s="23">
        <v>0.3</v>
      </c>
    </row>
    <row r="23" spans="2:31" x14ac:dyDescent="0.2">
      <c r="B23" s="18" t="s">
        <v>107</v>
      </c>
      <c r="D23" s="16">
        <v>0.1</v>
      </c>
      <c r="E23" s="16">
        <v>0.3</v>
      </c>
      <c r="F23" s="16">
        <v>-0.1</v>
      </c>
      <c r="H23" s="30">
        <v>6.08E-2</v>
      </c>
      <c r="I23" s="30">
        <v>-1.3899999999999999E-2</v>
      </c>
      <c r="J23" s="30">
        <v>1.1000000000000001E-3</v>
      </c>
      <c r="L23" s="23">
        <v>9.4E-2</v>
      </c>
      <c r="M23" s="23">
        <v>0.30099999999999999</v>
      </c>
      <c r="N23" s="23">
        <v>-0.1</v>
      </c>
    </row>
    <row r="24" spans="2:31" x14ac:dyDescent="0.2">
      <c r="B24" s="18" t="s">
        <v>108</v>
      </c>
      <c r="D24" s="16">
        <v>-0.2</v>
      </c>
      <c r="E24" s="16">
        <v>0.1</v>
      </c>
      <c r="F24" s="16">
        <v>0.4</v>
      </c>
      <c r="H24" s="30">
        <v>-0.32100000000000001</v>
      </c>
      <c r="I24" s="30">
        <v>7.3499999999999996E-2</v>
      </c>
      <c r="J24" s="30">
        <v>-6.0000000000000001E-3</v>
      </c>
      <c r="L24" s="23">
        <v>-0.16800000000000001</v>
      </c>
      <c r="M24" s="23">
        <v>9.2999999999999999E-2</v>
      </c>
      <c r="N24" s="23">
        <v>0.40100000000000002</v>
      </c>
    </row>
    <row r="27" spans="2:31" x14ac:dyDescent="0.2">
      <c r="B27" s="45" t="s">
        <v>171</v>
      </c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40"/>
    </row>
    <row r="29" spans="2:31" x14ac:dyDescent="0.2">
      <c r="B29" s="5" t="s">
        <v>172</v>
      </c>
    </row>
    <row r="30" spans="2:31" x14ac:dyDescent="0.2">
      <c r="B30" s="15" t="s">
        <v>173</v>
      </c>
      <c r="D30" s="15">
        <f>0.3502</f>
        <v>0.35020000000000001</v>
      </c>
    </row>
    <row r="31" spans="2:31" x14ac:dyDescent="0.2">
      <c r="B31" s="15" t="s">
        <v>174</v>
      </c>
      <c r="D31" s="15">
        <f>-0.0079</f>
        <v>-7.9000000000000008E-3</v>
      </c>
    </row>
    <row r="32" spans="2:31" x14ac:dyDescent="0.2">
      <c r="B32" s="15" t="s">
        <v>175</v>
      </c>
      <c r="D32" s="15">
        <f>-0.286</f>
        <v>-0.28599999999999998</v>
      </c>
    </row>
    <row r="35" spans="2:31" x14ac:dyDescent="0.2">
      <c r="B35" s="34" t="s">
        <v>176</v>
      </c>
    </row>
    <row r="36" spans="2:31" x14ac:dyDescent="0.2">
      <c r="B36" s="35" t="s">
        <v>177</v>
      </c>
      <c r="D36" t="s">
        <v>178</v>
      </c>
      <c r="N36" s="35">
        <f>0.3026</f>
        <v>0.30259999999999998</v>
      </c>
    </row>
    <row r="37" spans="2:31" x14ac:dyDescent="0.2">
      <c r="B37" s="35" t="s">
        <v>179</v>
      </c>
      <c r="D37" t="s">
        <v>180</v>
      </c>
      <c r="N37" s="35">
        <f>-0.0079</f>
        <v>-7.9000000000000008E-3</v>
      </c>
    </row>
    <row r="38" spans="2:31" x14ac:dyDescent="0.2">
      <c r="B38" s="35" t="s">
        <v>181</v>
      </c>
      <c r="D38" t="s">
        <v>182</v>
      </c>
      <c r="N38" s="35">
        <f>-0.2859</f>
        <v>-0.28589999999999999</v>
      </c>
    </row>
    <row r="41" spans="2:31" x14ac:dyDescent="0.2">
      <c r="B41" s="45" t="s">
        <v>183</v>
      </c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40"/>
    </row>
    <row r="43" spans="2:31" x14ac:dyDescent="0.2">
      <c r="B43" s="5" t="s">
        <v>184</v>
      </c>
    </row>
    <row r="44" spans="2:31" x14ac:dyDescent="0.2">
      <c r="B44" s="18"/>
      <c r="D44" s="5" t="s">
        <v>168</v>
      </c>
      <c r="H44" s="28" t="s">
        <v>169</v>
      </c>
      <c r="L44" s="29" t="s">
        <v>170</v>
      </c>
    </row>
    <row r="45" spans="2:31" x14ac:dyDescent="0.2">
      <c r="B45" s="15" t="s">
        <v>185</v>
      </c>
      <c r="D45" s="15">
        <v>0.3</v>
      </c>
      <c r="E45" s="15">
        <v>-0.2</v>
      </c>
      <c r="F45" s="15">
        <v>0.1</v>
      </c>
      <c r="H45" s="30">
        <v>9.0800000000000006E-2</v>
      </c>
      <c r="I45" s="30">
        <v>-2.3999999999999998E-3</v>
      </c>
      <c r="J45" s="30">
        <v>-8.5800000000000001E-2</v>
      </c>
      <c r="L45" s="23">
        <v>0.29099999999999998</v>
      </c>
      <c r="M45" s="23">
        <v>-0.2</v>
      </c>
      <c r="N45" s="23">
        <v>0.109</v>
      </c>
    </row>
    <row r="46" spans="2:31" x14ac:dyDescent="0.2">
      <c r="B46" s="15" t="s">
        <v>186</v>
      </c>
      <c r="D46" s="15">
        <v>-0.1</v>
      </c>
      <c r="E46" s="15">
        <v>0.4</v>
      </c>
      <c r="F46" s="15">
        <v>0.2</v>
      </c>
      <c r="H46" s="30">
        <v>-9.0800000000000006E-2</v>
      </c>
      <c r="I46" s="30">
        <v>2.3999999999999998E-3</v>
      </c>
      <c r="J46" s="30">
        <v>8.5800000000000001E-2</v>
      </c>
      <c r="L46" s="23">
        <v>-9.0999999999999998E-2</v>
      </c>
      <c r="M46" s="23">
        <v>0.4</v>
      </c>
      <c r="N46" s="23">
        <v>0.191</v>
      </c>
    </row>
    <row r="47" spans="2:31" x14ac:dyDescent="0.2">
      <c r="B47" s="15" t="s">
        <v>187</v>
      </c>
      <c r="D47" s="15">
        <v>0.2</v>
      </c>
      <c r="E47" s="15">
        <v>0.1</v>
      </c>
      <c r="F47" s="15">
        <v>-0.3</v>
      </c>
      <c r="H47" s="30">
        <v>0.121</v>
      </c>
      <c r="I47" s="30">
        <v>-3.2000000000000002E-3</v>
      </c>
      <c r="J47" s="30">
        <v>-0.1144</v>
      </c>
      <c r="L47" s="23">
        <v>0.188</v>
      </c>
      <c r="M47" s="23">
        <v>0.1</v>
      </c>
      <c r="N47" s="23">
        <v>-0.28899999999999998</v>
      </c>
    </row>
    <row r="48" spans="2:31" x14ac:dyDescent="0.2">
      <c r="B48" s="15" t="s">
        <v>188</v>
      </c>
      <c r="D48" s="15">
        <v>0.1</v>
      </c>
      <c r="E48" s="15">
        <v>-0.2</v>
      </c>
      <c r="F48" s="15">
        <v>0.4</v>
      </c>
      <c r="H48" s="30">
        <v>0.15129999999999999</v>
      </c>
      <c r="I48" s="30">
        <v>-3.8999999999999998E-3</v>
      </c>
      <c r="J48" s="30">
        <v>-0.14299999999999999</v>
      </c>
      <c r="L48" s="23">
        <v>8.5000000000000006E-2</v>
      </c>
      <c r="M48" s="23">
        <v>-0.2</v>
      </c>
      <c r="N48" s="23">
        <v>0.41399999999999998</v>
      </c>
    </row>
    <row r="51" spans="2:31" x14ac:dyDescent="0.2">
      <c r="B51" s="5" t="s">
        <v>189</v>
      </c>
    </row>
    <row r="52" spans="2:31" x14ac:dyDescent="0.2">
      <c r="B52" s="18"/>
      <c r="D52" s="5" t="s">
        <v>168</v>
      </c>
      <c r="H52" s="28" t="s">
        <v>169</v>
      </c>
      <c r="L52" s="29" t="s">
        <v>170</v>
      </c>
    </row>
    <row r="53" spans="2:31" x14ac:dyDescent="0.2">
      <c r="B53" s="15" t="s">
        <v>190</v>
      </c>
      <c r="D53" s="15">
        <v>0.3</v>
      </c>
      <c r="E53" s="15">
        <v>-0.1</v>
      </c>
      <c r="F53" s="15">
        <v>0.2</v>
      </c>
      <c r="H53" s="30">
        <v>1.61E-2</v>
      </c>
      <c r="I53" s="30">
        <v>-4.0000000000000002E-4</v>
      </c>
      <c r="J53" s="30">
        <v>-1.52E-2</v>
      </c>
      <c r="L53" s="23">
        <v>0.29799999999999999</v>
      </c>
      <c r="M53" s="23">
        <v>-0.1</v>
      </c>
      <c r="N53" s="23">
        <v>0.20200000000000001</v>
      </c>
    </row>
    <row r="54" spans="2:31" x14ac:dyDescent="0.2">
      <c r="B54" s="15" t="s">
        <v>191</v>
      </c>
      <c r="D54" s="15">
        <v>0.1</v>
      </c>
      <c r="E54" s="15">
        <v>0.2</v>
      </c>
      <c r="F54" s="15">
        <v>-0.1</v>
      </c>
      <c r="H54" s="30">
        <v>0.1061</v>
      </c>
      <c r="I54" s="30">
        <v>-2.8E-3</v>
      </c>
      <c r="J54" s="30">
        <v>-0.1003</v>
      </c>
      <c r="L54" s="23">
        <v>8.8999999999999996E-2</v>
      </c>
      <c r="M54" s="23">
        <v>0.2</v>
      </c>
      <c r="N54" s="23">
        <v>-0.09</v>
      </c>
    </row>
    <row r="55" spans="2:31" x14ac:dyDescent="0.2">
      <c r="B55" s="15" t="s">
        <v>192</v>
      </c>
      <c r="D55" s="15">
        <v>-0.2</v>
      </c>
      <c r="E55" s="15">
        <v>0.1</v>
      </c>
      <c r="F55" s="15">
        <v>0.3</v>
      </c>
      <c r="H55" s="30">
        <v>1.09E-2</v>
      </c>
      <c r="I55" s="30">
        <v>-2.9999999999999997E-4</v>
      </c>
      <c r="J55" s="30">
        <v>-1.03E-2</v>
      </c>
      <c r="L55" s="23">
        <v>-0.20100000000000001</v>
      </c>
      <c r="M55" s="23">
        <v>0.1</v>
      </c>
      <c r="N55" s="23">
        <v>0.30099999999999999</v>
      </c>
    </row>
    <row r="58" spans="2:31" x14ac:dyDescent="0.2">
      <c r="B58" s="44" t="s">
        <v>193</v>
      </c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40"/>
    </row>
    <row r="60" spans="2:31" x14ac:dyDescent="0.2">
      <c r="B60" s="19" t="s">
        <v>194</v>
      </c>
    </row>
    <row r="61" spans="2:31" x14ac:dyDescent="0.2">
      <c r="B61" s="18"/>
      <c r="D61" s="19" t="s">
        <v>168</v>
      </c>
      <c r="H61" s="28" t="s">
        <v>169</v>
      </c>
      <c r="L61" s="29" t="s">
        <v>170</v>
      </c>
    </row>
    <row r="62" spans="2:31" x14ac:dyDescent="0.2">
      <c r="B62" s="14" t="s">
        <v>195</v>
      </c>
      <c r="D62" s="14">
        <v>0.2</v>
      </c>
      <c r="E62" s="14">
        <v>0.1</v>
      </c>
      <c r="F62" s="14">
        <v>-0.1</v>
      </c>
      <c r="H62" s="30">
        <v>4.3099999999999999E-2</v>
      </c>
      <c r="I62" s="30">
        <v>-1.1000000000000001E-3</v>
      </c>
      <c r="J62" s="30">
        <v>-4.07E-2</v>
      </c>
      <c r="L62" s="23">
        <v>0.19600000000000001</v>
      </c>
      <c r="M62" s="23">
        <v>0.1</v>
      </c>
      <c r="N62" s="23">
        <v>-9.6000000000000002E-2</v>
      </c>
    </row>
    <row r="63" spans="2:31" x14ac:dyDescent="0.2">
      <c r="B63" s="14" t="s">
        <v>196</v>
      </c>
      <c r="D63" s="14">
        <v>-0.1</v>
      </c>
      <c r="E63" s="14">
        <v>0.3</v>
      </c>
      <c r="F63" s="14">
        <v>0.1</v>
      </c>
      <c r="H63" s="30">
        <v>5.5999999999999999E-3</v>
      </c>
      <c r="I63" s="30">
        <v>-1E-4</v>
      </c>
      <c r="J63" s="30">
        <v>-5.3E-3</v>
      </c>
      <c r="L63" s="23">
        <v>-0.10100000000000001</v>
      </c>
      <c r="M63" s="23">
        <v>0.3</v>
      </c>
      <c r="N63" s="23">
        <v>0.10100000000000001</v>
      </c>
    </row>
    <row r="64" spans="2:31" x14ac:dyDescent="0.2">
      <c r="B64" s="14" t="s">
        <v>197</v>
      </c>
      <c r="D64" s="14">
        <v>0.1</v>
      </c>
      <c r="E64" s="14">
        <v>-0.2</v>
      </c>
      <c r="F64" s="14">
        <v>0.2</v>
      </c>
      <c r="H64" s="30">
        <v>4.9799999999999997E-2</v>
      </c>
      <c r="I64" s="30">
        <v>-1.2999999999999999E-3</v>
      </c>
      <c r="J64" s="30">
        <v>-4.7E-2</v>
      </c>
      <c r="L64" s="23">
        <v>9.5000000000000001E-2</v>
      </c>
      <c r="M64" s="23">
        <v>-0.2</v>
      </c>
      <c r="N64" s="23">
        <v>0.20499999999999999</v>
      </c>
    </row>
    <row r="67" spans="2:31" x14ac:dyDescent="0.2">
      <c r="B67" s="42" t="s">
        <v>198</v>
      </c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40"/>
    </row>
    <row r="69" spans="2:31" x14ac:dyDescent="0.2">
      <c r="B69" s="19" t="s">
        <v>199</v>
      </c>
    </row>
    <row r="70" spans="2:31" x14ac:dyDescent="0.2">
      <c r="B70" s="14" t="s">
        <v>200</v>
      </c>
      <c r="D70" s="14">
        <f>0.0883</f>
        <v>8.8300000000000003E-2</v>
      </c>
    </row>
    <row r="71" spans="2:31" x14ac:dyDescent="0.2">
      <c r="B71" s="14" t="s">
        <v>201</v>
      </c>
      <c r="D71" s="14">
        <f>-0.0612</f>
        <v>-6.1199999999999997E-2</v>
      </c>
    </row>
    <row r="72" spans="2:31" x14ac:dyDescent="0.2">
      <c r="B72" s="14" t="s">
        <v>202</v>
      </c>
      <c r="D72" s="14">
        <f>-0.0254</f>
        <v>-2.5399999999999999E-2</v>
      </c>
    </row>
    <row r="75" spans="2:31" x14ac:dyDescent="0.2">
      <c r="B75" s="8" t="s">
        <v>203</v>
      </c>
    </row>
    <row r="76" spans="2:31" x14ac:dyDescent="0.2">
      <c r="B76" s="13" t="s">
        <v>204</v>
      </c>
      <c r="F76" s="13">
        <f>0.0062</f>
        <v>6.1999999999999998E-3</v>
      </c>
    </row>
    <row r="77" spans="2:31" x14ac:dyDescent="0.2">
      <c r="B77" s="13" t="s">
        <v>205</v>
      </c>
      <c r="F77" s="13">
        <f>0.0266</f>
        <v>2.6599999999999999E-2</v>
      </c>
    </row>
    <row r="78" spans="2:31" x14ac:dyDescent="0.2">
      <c r="B78" s="13" t="s">
        <v>206</v>
      </c>
      <c r="F78" s="13">
        <f>-0.0119</f>
        <v>-1.1900000000000001E-2</v>
      </c>
    </row>
    <row r="81" spans="2:31" x14ac:dyDescent="0.2">
      <c r="B81" s="8" t="s">
        <v>207</v>
      </c>
    </row>
    <row r="82" spans="2:31" x14ac:dyDescent="0.2">
      <c r="B82" s="13" t="s">
        <v>208</v>
      </c>
      <c r="D82" s="13">
        <v>0.3</v>
      </c>
      <c r="E82" s="13">
        <v>-0.2</v>
      </c>
      <c r="F82" s="13">
        <v>0.4</v>
      </c>
    </row>
    <row r="83" spans="2:31" x14ac:dyDescent="0.2">
      <c r="B83" s="30" t="s">
        <v>209</v>
      </c>
      <c r="D83" s="30">
        <v>-2.0000000000000001E-4</v>
      </c>
      <c r="E83" s="30">
        <v>-2.0000000000000001E-4</v>
      </c>
      <c r="F83" s="30">
        <v>8.0000000000000004E-4</v>
      </c>
    </row>
    <row r="84" spans="2:31" x14ac:dyDescent="0.2">
      <c r="B84" s="23" t="s">
        <v>210</v>
      </c>
      <c r="D84" s="23">
        <v>0.3</v>
      </c>
      <c r="E84" s="23">
        <v>-0.2</v>
      </c>
      <c r="F84" s="23">
        <v>0.4</v>
      </c>
    </row>
    <row r="87" spans="2:31" x14ac:dyDescent="0.2">
      <c r="B87" s="43" t="s">
        <v>211</v>
      </c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40"/>
    </row>
    <row r="89" spans="2:31" x14ac:dyDescent="0.2">
      <c r="B89" s="4" t="s">
        <v>212</v>
      </c>
    </row>
    <row r="90" spans="2:31" x14ac:dyDescent="0.2">
      <c r="B90" s="11" t="s">
        <v>213</v>
      </c>
      <c r="E90" s="11">
        <v>2.92E-2</v>
      </c>
      <c r="F90" s="11">
        <v>-2.0199999999999999E-2</v>
      </c>
      <c r="G90" s="11">
        <v>-8.3999999999999995E-3</v>
      </c>
    </row>
    <row r="91" spans="2:31" x14ac:dyDescent="0.2">
      <c r="B91" s="11" t="s">
        <v>214</v>
      </c>
      <c r="E91" s="11">
        <v>3.0200000000000001E-2</v>
      </c>
      <c r="F91" s="11">
        <v>-2.1000000000000001E-2</v>
      </c>
      <c r="G91" s="11">
        <v>-8.6999999999999994E-3</v>
      </c>
    </row>
    <row r="92" spans="2:31" x14ac:dyDescent="0.2">
      <c r="B92" s="11" t="s">
        <v>215</v>
      </c>
      <c r="E92" s="11">
        <v>2.8899999999999999E-2</v>
      </c>
      <c r="F92" s="11">
        <v>-2.01E-2</v>
      </c>
      <c r="G92" s="11">
        <v>-8.3000000000000001E-3</v>
      </c>
    </row>
    <row r="95" spans="2:31" x14ac:dyDescent="0.2">
      <c r="B95" t="s">
        <v>216</v>
      </c>
    </row>
    <row r="98" spans="2:31" x14ac:dyDescent="0.2">
      <c r="B98" s="41" t="s">
        <v>217</v>
      </c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40"/>
    </row>
    <row r="100" spans="2:31" x14ac:dyDescent="0.2">
      <c r="B100" t="s">
        <v>218</v>
      </c>
    </row>
    <row r="101" spans="2:31" x14ac:dyDescent="0.2">
      <c r="B101" t="s">
        <v>219</v>
      </c>
    </row>
    <row r="102" spans="2:31" x14ac:dyDescent="0.2">
      <c r="B102" t="s">
        <v>220</v>
      </c>
    </row>
    <row r="103" spans="2:31" x14ac:dyDescent="0.2">
      <c r="B103" t="s">
        <v>221</v>
      </c>
    </row>
    <row r="104" spans="2:31" x14ac:dyDescent="0.2">
      <c r="B104" t="s">
        <v>222</v>
      </c>
    </row>
    <row r="105" spans="2:31" x14ac:dyDescent="0.2">
      <c r="B105" t="s">
        <v>223</v>
      </c>
    </row>
    <row r="106" spans="2:31" x14ac:dyDescent="0.2">
      <c r="B106" t="s">
        <v>224</v>
      </c>
    </row>
    <row r="107" spans="2:31" x14ac:dyDescent="0.2">
      <c r="B107" t="s">
        <v>225</v>
      </c>
    </row>
    <row r="108" spans="2:31" x14ac:dyDescent="0.2">
      <c r="B108" t="s">
        <v>226</v>
      </c>
    </row>
    <row r="109" spans="2:31" x14ac:dyDescent="0.2">
      <c r="B109" t="s">
        <v>227</v>
      </c>
    </row>
    <row r="111" spans="2:31" x14ac:dyDescent="0.2">
      <c r="B111" t="s">
        <v>228</v>
      </c>
    </row>
    <row r="112" spans="2:31" x14ac:dyDescent="0.2">
      <c r="B112" t="s">
        <v>229</v>
      </c>
    </row>
  </sheetData>
  <mergeCells count="9">
    <mergeCell ref="A1:J1"/>
    <mergeCell ref="B58:AE58"/>
    <mergeCell ref="B6:AE6"/>
    <mergeCell ref="B2:AH2"/>
    <mergeCell ref="B87:AE87"/>
    <mergeCell ref="B98:AE98"/>
    <mergeCell ref="B67:AE67"/>
    <mergeCell ref="B27:AE27"/>
    <mergeCell ref="B41:AE4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31"/>
  <sheetViews>
    <sheetView workbookViewId="0"/>
  </sheetViews>
  <sheetFormatPr baseColWidth="10" defaultColWidth="8.83203125" defaultRowHeight="15" x14ac:dyDescent="0.2"/>
  <cols>
    <col min="1" max="6" width="12" customWidth="1"/>
    <col min="7" max="19" width="10" customWidth="1"/>
  </cols>
  <sheetData>
    <row r="1" spans="1:20" x14ac:dyDescent="0.2">
      <c r="A1" s="36" t="s">
        <v>230</v>
      </c>
      <c r="B1" s="37"/>
      <c r="C1" s="37"/>
      <c r="D1" s="37"/>
      <c r="E1" s="37"/>
      <c r="F1" s="37"/>
      <c r="G1" s="37"/>
      <c r="H1" s="37"/>
      <c r="I1" s="37"/>
      <c r="J1" s="37"/>
    </row>
    <row r="2" spans="1:20" x14ac:dyDescent="0.2">
      <c r="B2" s="41" t="s">
        <v>231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40"/>
    </row>
    <row r="4" spans="1:20" x14ac:dyDescent="0.2">
      <c r="B4" s="4" t="s">
        <v>232</v>
      </c>
    </row>
    <row r="5" spans="1:20" x14ac:dyDescent="0.2">
      <c r="B5" s="11" t="s">
        <v>56</v>
      </c>
      <c r="F5" t="s">
        <v>233</v>
      </c>
    </row>
    <row r="6" spans="1:20" x14ac:dyDescent="0.2">
      <c r="B6" s="11" t="s">
        <v>57</v>
      </c>
      <c r="F6" t="s">
        <v>234</v>
      </c>
    </row>
    <row r="7" spans="1:20" x14ac:dyDescent="0.2">
      <c r="B7" s="11" t="s">
        <v>58</v>
      </c>
      <c r="F7" t="s">
        <v>235</v>
      </c>
    </row>
    <row r="9" spans="1:20" x14ac:dyDescent="0.2">
      <c r="B9" s="8" t="s">
        <v>236</v>
      </c>
    </row>
    <row r="10" spans="1:20" x14ac:dyDescent="0.2">
      <c r="B10" s="15" t="s">
        <v>237</v>
      </c>
      <c r="F10" t="s">
        <v>238</v>
      </c>
    </row>
    <row r="11" spans="1:20" x14ac:dyDescent="0.2">
      <c r="B11" s="15" t="s">
        <v>239</v>
      </c>
      <c r="F11" t="s">
        <v>238</v>
      </c>
    </row>
    <row r="12" spans="1:20" x14ac:dyDescent="0.2">
      <c r="B12" s="15" t="s">
        <v>240</v>
      </c>
      <c r="F12" t="s">
        <v>238</v>
      </c>
    </row>
    <row r="13" spans="1:20" x14ac:dyDescent="0.2">
      <c r="B13" s="15" t="s">
        <v>241</v>
      </c>
      <c r="F13" t="s">
        <v>238</v>
      </c>
    </row>
    <row r="15" spans="1:20" x14ac:dyDescent="0.2">
      <c r="B15" s="19" t="s">
        <v>242</v>
      </c>
    </row>
    <row r="16" spans="1:20" x14ac:dyDescent="0.2">
      <c r="B16" s="14" t="s">
        <v>243</v>
      </c>
      <c r="D16" t="s">
        <v>244</v>
      </c>
    </row>
    <row r="17" spans="2:4" x14ac:dyDescent="0.2">
      <c r="B17" s="14" t="s">
        <v>245</v>
      </c>
      <c r="D17" t="s">
        <v>244</v>
      </c>
    </row>
    <row r="18" spans="2:4" x14ac:dyDescent="0.2">
      <c r="B18" s="14" t="s">
        <v>246</v>
      </c>
      <c r="D18" t="s">
        <v>244</v>
      </c>
    </row>
    <row r="19" spans="2:4" x14ac:dyDescent="0.2">
      <c r="B19" s="14" t="s">
        <v>247</v>
      </c>
      <c r="D19" t="s">
        <v>244</v>
      </c>
    </row>
    <row r="21" spans="2:4" x14ac:dyDescent="0.2">
      <c r="B21" s="5" t="s">
        <v>248</v>
      </c>
    </row>
    <row r="22" spans="2:4" x14ac:dyDescent="0.2">
      <c r="B22" s="15" t="s">
        <v>249</v>
      </c>
      <c r="D22" t="s">
        <v>250</v>
      </c>
    </row>
    <row r="23" spans="2:4" x14ac:dyDescent="0.2">
      <c r="B23" s="15" t="s">
        <v>251</v>
      </c>
      <c r="D23" t="s">
        <v>252</v>
      </c>
    </row>
    <row r="24" spans="2:4" x14ac:dyDescent="0.2">
      <c r="B24" s="15" t="s">
        <v>253</v>
      </c>
      <c r="D24" t="s">
        <v>254</v>
      </c>
    </row>
    <row r="25" spans="2:4" x14ac:dyDescent="0.2">
      <c r="B25" s="15" t="s">
        <v>255</v>
      </c>
      <c r="D25" t="s">
        <v>256</v>
      </c>
    </row>
    <row r="27" spans="2:4" x14ac:dyDescent="0.2">
      <c r="B27" s="22" t="s">
        <v>257</v>
      </c>
    </row>
    <row r="28" spans="2:4" x14ac:dyDescent="0.2">
      <c r="B28" t="s">
        <v>258</v>
      </c>
    </row>
    <row r="29" spans="2:4" x14ac:dyDescent="0.2">
      <c r="B29" t="s">
        <v>259</v>
      </c>
    </row>
    <row r="30" spans="2:4" x14ac:dyDescent="0.2">
      <c r="B30" t="s">
        <v>260</v>
      </c>
    </row>
    <row r="31" spans="2:4" x14ac:dyDescent="0.2">
      <c r="B31" t="s">
        <v>261</v>
      </c>
    </row>
  </sheetData>
  <mergeCells count="2">
    <mergeCell ref="A1:J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Encoder</vt:lpstr>
      <vt:lpstr>Attention_Mechanism</vt:lpstr>
      <vt:lpstr>Decoder_Attention</vt:lpstr>
      <vt:lpstr>Attention_Visualization</vt:lpstr>
      <vt:lpstr>Comparison</vt:lpstr>
      <vt:lpstr>Backward</vt:lpstr>
      <vt:lpstr>Answer_Key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Jihwan Kim</cp:lastModifiedBy>
  <dcterms:created xsi:type="dcterms:W3CDTF">2026-01-20T06:54:02Z</dcterms:created>
  <dcterms:modified xsi:type="dcterms:W3CDTF">2026-02-10T07:27:56Z</dcterms:modified>
</cp:coreProperties>
</file>