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ncoder" sheetId="2" state="visible" r:id="rId2"/>
    <sheet xmlns:r="http://schemas.openxmlformats.org/officeDocument/2006/relationships" name="Attention_Mechanism" sheetId="3" state="visible" r:id="rId3"/>
    <sheet xmlns:r="http://schemas.openxmlformats.org/officeDocument/2006/relationships" name="Decoder_Attention" sheetId="4" state="visible" r:id="rId4"/>
    <sheet xmlns:r="http://schemas.openxmlformats.org/officeDocument/2006/relationships" name="Attention_Visualization" sheetId="5" state="visible" r:id="rId5"/>
    <sheet xmlns:r="http://schemas.openxmlformats.org/officeDocument/2006/relationships" name="Comparison" sheetId="6" state="visible" r:id="rId6"/>
    <sheet xmlns:r="http://schemas.openxmlformats.org/officeDocument/2006/relationships" name="Backward" sheetId="7" state="visible" r:id="rId7"/>
    <sheet xmlns:r="http://schemas.openxmlformats.org/officeDocument/2006/relationships" name="Answer_Ke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B4C6E7"/>
        <bgColor rgb="00B4C6E7"/>
      </patternFill>
    </fill>
    <fill>
      <patternFill patternType="solid">
        <fgColor rgb="00C5E0B4"/>
        <bgColor rgb="00C5E0B4"/>
      </patternFill>
    </fill>
    <fill>
      <patternFill patternType="solid">
        <fgColor rgb="00FFE4B5"/>
        <bgColor rgb="00FFE4B5"/>
      </patternFill>
    </fill>
    <fill>
      <patternFill patternType="solid">
        <fgColor rgb="00FFFACD"/>
        <bgColor rgb="00FFFACD"/>
      </patternFill>
    </fill>
    <fill>
      <patternFill patternType="solid">
        <fgColor rgb="00FFD966"/>
        <bgColor rgb="00FFD966"/>
      </patternFill>
    </fill>
    <fill>
      <patternFill patternType="solid">
        <fgColor rgb="00F4B183"/>
        <bgColor rgb="00F4B183"/>
      </patternFill>
    </fill>
    <fill>
      <patternFill patternType="solid">
        <fgColor rgb="00DAEEF3"/>
        <bgColor rgb="00DAEEF3"/>
      </patternFill>
    </fill>
    <fill>
      <patternFill patternType="solid">
        <fgColor rgb="00E4DFEC"/>
        <bgColor rgb="00E4DFEC"/>
      </patternFill>
    </fill>
    <fill>
      <patternFill patternType="solid">
        <fgColor rgb="00FDE9D9"/>
        <bgColor rgb="00FDE9D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5" borderId="0" pivotButton="0" quotePrefix="0" xfId="0"/>
    <xf numFmtId="0" fontId="0" fillId="7" borderId="0" pivotButton="0" quotePrefix="0" xfId="0"/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8" borderId="0" pivotButton="0" quotePrefix="0" xfId="0"/>
    <xf numFmtId="0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0" fillId="9" borderId="0" pivotButton="0" quotePrefix="0" xfId="0"/>
    <xf numFmtId="0" fontId="0" fillId="8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11" borderId="0" pivotButton="0" quotePrefix="0" xfId="0"/>
    <xf numFmtId="0" fontId="0" fillId="4" borderId="0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</cols>
  <sheetData>
    <row r="1"/>
    <row r="2">
      <c r="B2" s="1" t="inlineStr">
        <is>
          <t>Seq2Seq + Attention (Bahdanau Attention)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5" t="n"/>
    </row>
    <row r="3"/>
    <row r="4">
      <c r="B4" s="2" t="inlineStr">
        <is>
          <t>Original Seq2Seq limitation: Compressing long sequence into one fixed vector → Information loss</t>
        </is>
      </c>
    </row>
    <row r="5">
      <c r="B5" s="3" t="inlineStr">
        <is>
          <t>Solution: Allow Decoder to 'reference' all Encoder states at each step</t>
        </is>
      </c>
    </row>
    <row r="6"/>
    <row r="7"/>
    <row r="8">
      <c r="B8" s="1" t="inlineStr">
        <is>
          <t>═══ Original Seq2Seq vs Seq2Seq + Attention ═══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5" t="n"/>
    </row>
    <row r="9"/>
    <row r="10">
      <c r="B10" s="6" t="inlineStr">
        <is>
          <t>Original Seq2Seq:</t>
        </is>
      </c>
    </row>
    <row r="11">
      <c r="B11" t="inlineStr">
        <is>
          <t>Encoder: I → love → you → [Context Vector] → Decoder</t>
        </is>
      </c>
    </row>
    <row r="12">
      <c r="B12" s="2" t="inlineStr">
        <is>
          <t xml:space="preserve">                              ↑ Only one fixed vector is passed</t>
        </is>
      </c>
    </row>
    <row r="13"/>
    <row r="14">
      <c r="B14" s="7" t="inlineStr">
        <is>
          <t>Seq2Seq + Attention:</t>
        </is>
      </c>
    </row>
    <row r="15">
      <c r="B15" t="inlineStr">
        <is>
          <t>Encoder: I → love → you</t>
        </is>
      </c>
    </row>
    <row r="16">
      <c r="B16" s="8" t="inlineStr">
        <is>
          <t xml:space="preserve">         h₁    h₂    h₃   ← Store all hidden states</t>
        </is>
      </c>
    </row>
    <row r="17">
      <c r="B17" t="inlineStr">
        <is>
          <t xml:space="preserve">          ↓     ↓     ↓</t>
        </is>
      </c>
    </row>
    <row r="18">
      <c r="B18" s="9" t="inlineStr">
        <is>
          <t>Decoder: Decide where to look with attention at each step</t>
        </is>
      </c>
    </row>
    <row r="19"/>
    <row r="20"/>
    <row r="21">
      <c r="B21" s="10" t="inlineStr">
        <is>
          <t>═══ Attention Mechanism (Bahdanau) ═══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5" t="n"/>
    </row>
    <row r="22"/>
    <row r="23">
      <c r="B23" s="11" t="inlineStr">
        <is>
          <t>1. Alignment Score:</t>
        </is>
      </c>
      <c r="F23" s="12" t="inlineStr">
        <is>
          <t>e_{t,i} = v^T · tanh(W_a · s_{t-1} + U_a · h_i)</t>
        </is>
      </c>
    </row>
    <row r="24">
      <c r="B24" s="11" t="inlineStr">
        <is>
          <t>2. Attention Weights:</t>
        </is>
      </c>
      <c r="F24" s="12" t="inlineStr">
        <is>
          <t>α_{t,i} = softmax(e_{t,i})</t>
        </is>
      </c>
    </row>
    <row r="25">
      <c r="B25" s="11" t="inlineStr">
        <is>
          <t>3. Context Vector:</t>
        </is>
      </c>
      <c r="F25" s="12" t="inlineStr">
        <is>
          <t>c_t = Σ α_{t,i} · h_i</t>
        </is>
      </c>
    </row>
    <row r="26">
      <c r="B26" s="11" t="inlineStr">
        <is>
          <t>4. Decoder Input:</t>
        </is>
      </c>
      <c r="F26" s="12" t="inlineStr">
        <is>
          <t>s_t = tanh(W·e_t + U·s_{t-1} + C·c_t + b)</t>
        </is>
      </c>
    </row>
    <row r="27"/>
    <row r="28"/>
    <row r="29">
      <c r="B29" s="1" t="inlineStr">
        <is>
          <t>═══ Architecture Diagram ═══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5" t="n"/>
    </row>
    <row r="30"/>
    <row r="31">
      <c r="B31" s="6" t="inlineStr">
        <is>
          <t>ENCODER</t>
        </is>
      </c>
    </row>
    <row r="32">
      <c r="B32" s="13" t="inlineStr">
        <is>
          <t>I</t>
        </is>
      </c>
      <c r="D32" s="13" t="inlineStr">
        <is>
          <t>love</t>
        </is>
      </c>
      <c r="F32" s="13" t="inlineStr">
        <is>
          <t>you</t>
        </is>
      </c>
    </row>
    <row r="33">
      <c r="B33" s="14" t="inlineStr">
        <is>
          <t>↓</t>
        </is>
      </c>
      <c r="D33" s="14" t="inlineStr">
        <is>
          <t>↓</t>
        </is>
      </c>
      <c r="F33" s="14" t="inlineStr">
        <is>
          <t>↓</t>
        </is>
      </c>
    </row>
    <row r="34">
      <c r="B34" s="13" t="inlineStr">
        <is>
          <t>h₁</t>
        </is>
      </c>
      <c r="C34" s="14" t="inlineStr">
        <is>
          <t>→</t>
        </is>
      </c>
      <c r="D34" s="13" t="inlineStr">
        <is>
          <t>h₂</t>
        </is>
      </c>
      <c r="E34" s="14" t="inlineStr">
        <is>
          <t>→</t>
        </is>
      </c>
      <c r="F34" s="13" t="inlineStr">
        <is>
          <t>h₃</t>
        </is>
      </c>
    </row>
    <row r="35">
      <c r="B35" s="14" t="inlineStr">
        <is>
          <t>↘</t>
        </is>
      </c>
      <c r="D35" s="14" t="inlineStr">
        <is>
          <t>↓</t>
        </is>
      </c>
      <c r="F35" s="14" t="inlineStr">
        <is>
          <t>↙</t>
        </is>
      </c>
    </row>
    <row r="36">
      <c r="C36" s="15" t="inlineStr">
        <is>
          <t>Attention</t>
        </is>
      </c>
      <c r="D36" s="4" t="n"/>
      <c r="E36" s="5" t="n"/>
    </row>
    <row r="37">
      <c r="D37" s="14" t="inlineStr">
        <is>
          <t>↓</t>
        </is>
      </c>
    </row>
    <row r="38">
      <c r="B38" s="7" t="inlineStr">
        <is>
          <t>DECODER</t>
        </is>
      </c>
    </row>
    <row r="39">
      <c r="B39" s="16" t="inlineStr">
        <is>
          <t>c_t</t>
        </is>
      </c>
      <c r="C39" s="14" t="inlineStr">
        <is>
          <t>+</t>
        </is>
      </c>
      <c r="D39" s="17" t="inlineStr">
        <is>
          <t>s_{t-1}</t>
        </is>
      </c>
      <c r="E39" s="14" t="inlineStr">
        <is>
          <t>→</t>
        </is>
      </c>
      <c r="F39" s="17" t="inlineStr">
        <is>
          <t>s_t</t>
        </is>
      </c>
      <c r="G39" s="14" t="inlineStr">
        <is>
          <t>→</t>
        </is>
      </c>
      <c r="H39" s="18" t="inlineStr">
        <is>
          <t>output</t>
        </is>
      </c>
    </row>
  </sheetData>
  <mergeCells count="5">
    <mergeCell ref="C36:E36"/>
    <mergeCell ref="B8:T8"/>
    <mergeCell ref="B2:AE2"/>
    <mergeCell ref="B21:T21"/>
    <mergeCell ref="B29:T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/>
    <row r="2">
      <c r="B2" s="6" t="inlineStr">
        <is>
          <t>Step 1: Encoder Forward Pass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5" t="n"/>
    </row>
    <row r="3"/>
    <row r="4">
      <c r="B4" s="1" t="inlineStr">
        <is>
          <t>═══ Encoder Parameters ═══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5"/>
    <row r="6">
      <c r="B6" s="6" t="inlineStr">
        <is>
          <t>enc_Wxh (4×3):</t>
        </is>
      </c>
    </row>
    <row r="7">
      <c r="B7" s="13" t="n">
        <v>0.2</v>
      </c>
      <c r="C7" s="13" t="n">
        <v>-0.1</v>
      </c>
      <c r="D7" s="13" t="n">
        <v>0.3</v>
      </c>
    </row>
    <row r="8">
      <c r="B8" s="13" t="n">
        <v>0.1</v>
      </c>
      <c r="C8" s="13" t="n">
        <v>0.3</v>
      </c>
      <c r="D8" s="13" t="n">
        <v>-0.2</v>
      </c>
    </row>
    <row r="9">
      <c r="B9" s="13" t="n">
        <v>-0.2</v>
      </c>
      <c r="C9" s="13" t="n">
        <v>0.2</v>
      </c>
      <c r="D9" s="13" t="n">
        <v>0.1</v>
      </c>
    </row>
    <row r="10">
      <c r="B10" s="13" t="n">
        <v>0.3</v>
      </c>
      <c r="C10" s="13" t="n">
        <v>-0.1</v>
      </c>
      <c r="D10" s="13" t="n">
        <v>0.2</v>
      </c>
    </row>
    <row r="11"/>
    <row r="12">
      <c r="B12" s="6" t="inlineStr">
        <is>
          <t>enc_Whh (3×3):</t>
        </is>
      </c>
      <c r="F12" s="6" t="inlineStr">
        <is>
          <t>enc_bh:</t>
        </is>
      </c>
    </row>
    <row r="13">
      <c r="B13" s="13" t="n">
        <v>0.2</v>
      </c>
      <c r="C13" s="13" t="n">
        <v>-0.1</v>
      </c>
      <c r="D13" s="13" t="n">
        <v>0.1</v>
      </c>
      <c r="F13" s="13" t="n">
        <v>0.1</v>
      </c>
    </row>
    <row r="14">
      <c r="B14" s="13" t="n">
        <v>0.1</v>
      </c>
      <c r="C14" s="13" t="n">
        <v>0.3</v>
      </c>
      <c r="D14" s="13" t="n">
        <v>-0.2</v>
      </c>
      <c r="F14" s="13" t="n">
        <v>-0.05</v>
      </c>
    </row>
    <row r="15">
      <c r="B15" s="13" t="n">
        <v>-0.1</v>
      </c>
      <c r="C15" s="13" t="n">
        <v>0.2</v>
      </c>
      <c r="D15" s="13" t="n">
        <v>0.2</v>
      </c>
      <c r="F15" s="13" t="n">
        <v>0.05</v>
      </c>
    </row>
    <row r="16"/>
    <row r="17"/>
    <row r="18">
      <c r="B18" s="6" t="inlineStr">
        <is>
          <t>═══ Input: 'I love you' ═══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5" t="n"/>
    </row>
    <row r="19"/>
    <row r="20">
      <c r="B20" s="6" t="inlineStr">
        <is>
          <t>──── t=0: 'I' ────</t>
        </is>
      </c>
      <c r="C20" s="4" t="n"/>
      <c r="D20" s="4" t="n"/>
      <c r="E20" s="4" t="n"/>
      <c r="F20" s="4" t="n"/>
      <c r="G20" s="4" t="n"/>
      <c r="H20" s="4" t="n"/>
      <c r="I20" s="4" t="n"/>
      <c r="J20" s="5" t="n"/>
    </row>
    <row r="21">
      <c r="B21" s="19" t="inlineStr">
        <is>
          <t>e_t =</t>
        </is>
      </c>
      <c r="D21" s="19" t="n">
        <v>0.3</v>
      </c>
      <c r="E21" s="19" t="n">
        <v>-0.2</v>
      </c>
      <c r="F21" s="19" t="n">
        <v>0.4</v>
      </c>
      <c r="G21" s="19" t="n">
        <v>0.1</v>
      </c>
    </row>
    <row r="22">
      <c r="B22" s="20" t="inlineStr">
        <is>
          <t>h_{t-1} =</t>
        </is>
      </c>
      <c r="D22" s="20" t="n">
        <v>0</v>
      </c>
      <c r="E22" s="20" t="n">
        <v>0</v>
      </c>
      <c r="F22" s="20" t="n">
        <v>0</v>
      </c>
    </row>
    <row r="23">
      <c r="B23" s="6" t="inlineStr">
        <is>
          <t>h_t =</t>
        </is>
      </c>
      <c r="D23" s="13" t="n">
        <v>0.0898</v>
      </c>
      <c r="E23" s="13" t="n">
        <v>-0.0699</v>
      </c>
      <c r="F23" s="13" t="n">
        <v>0.2355</v>
      </c>
    </row>
    <row r="24"/>
    <row r="25">
      <c r="B25" s="6" t="inlineStr">
        <is>
          <t>──── t=1: 'love' ────</t>
        </is>
      </c>
      <c r="C25" s="4" t="n"/>
      <c r="D25" s="4" t="n"/>
      <c r="E25" s="4" t="n"/>
      <c r="F25" s="4" t="n"/>
      <c r="G25" s="4" t="n"/>
      <c r="H25" s="4" t="n"/>
      <c r="I25" s="4" t="n"/>
      <c r="J25" s="5" t="n"/>
    </row>
    <row r="26">
      <c r="B26" s="19" t="inlineStr">
        <is>
          <t>e_t =</t>
        </is>
      </c>
      <c r="D26" s="19" t="n">
        <v>0.5</v>
      </c>
      <c r="E26" s="19" t="n">
        <v>0.3</v>
      </c>
      <c r="F26" s="19" t="n">
        <v>-0.1</v>
      </c>
      <c r="G26" s="19" t="n">
        <v>0.4</v>
      </c>
    </row>
    <row r="27">
      <c r="B27" s="20" t="inlineStr">
        <is>
          <t>h_{t-1} =</t>
        </is>
      </c>
      <c r="D27" s="20" t="n">
        <v>0.0898</v>
      </c>
      <c r="E27" s="20" t="n">
        <v>-0.0699</v>
      </c>
      <c r="F27" s="20" t="n">
        <v>0.2355</v>
      </c>
    </row>
    <row r="28">
      <c r="B28" s="6" t="inlineStr">
        <is>
          <t>h_t =</t>
        </is>
      </c>
      <c r="D28" s="13" t="n">
        <v>0.3429</v>
      </c>
      <c r="E28" s="13" t="n">
        <v>-0.0528</v>
      </c>
      <c r="F28" s="13" t="n">
        <v>0.273</v>
      </c>
    </row>
    <row r="29"/>
    <row r="30">
      <c r="B30" s="6" t="inlineStr">
        <is>
          <t>──── t=2: 'you' ────</t>
        </is>
      </c>
      <c r="C30" s="4" t="n"/>
      <c r="D30" s="4" t="n"/>
      <c r="E30" s="4" t="n"/>
      <c r="F30" s="4" t="n"/>
      <c r="G30" s="4" t="n"/>
      <c r="H30" s="4" t="n"/>
      <c r="I30" s="4" t="n"/>
      <c r="J30" s="5" t="n"/>
    </row>
    <row r="31">
      <c r="B31" s="19" t="inlineStr">
        <is>
          <t>e_t =</t>
        </is>
      </c>
      <c r="D31" s="19" t="n">
        <v>-0.2</v>
      </c>
      <c r="E31" s="19" t="n">
        <v>0.4</v>
      </c>
      <c r="F31" s="19" t="n">
        <v>0.3</v>
      </c>
      <c r="G31" s="19" t="n">
        <v>-0.3</v>
      </c>
    </row>
    <row r="32">
      <c r="B32" s="20" t="inlineStr">
        <is>
          <t>h_{t-1} =</t>
        </is>
      </c>
      <c r="D32" s="20" t="n">
        <v>0.3429</v>
      </c>
      <c r="E32" s="20" t="n">
        <v>-0.0528</v>
      </c>
      <c r="F32" s="20" t="n">
        <v>0.273</v>
      </c>
    </row>
    <row r="33">
      <c r="B33" s="6" t="inlineStr">
        <is>
          <t>h_t =</t>
        </is>
      </c>
      <c r="D33" s="13" t="n">
        <v>-0.014</v>
      </c>
      <c r="E33" s="13" t="n">
        <v>0.1824</v>
      </c>
      <c r="F33" s="13" t="n">
        <v>-0.0206</v>
      </c>
    </row>
    <row r="34"/>
    <row r="35">
      <c r="B35" s="21" t="inlineStr">
        <is>
          <t>═══ Encoder Outputs (All Hidden States) ═══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5" t="n"/>
    </row>
    <row r="36"/>
    <row r="37">
      <c r="B37" s="22" t="inlineStr">
        <is>
          <t>All these states are used in Decoder's Attention!</t>
        </is>
      </c>
    </row>
    <row r="38"/>
    <row r="39">
      <c r="B39" s="6" t="inlineStr">
        <is>
          <t>h_1 ('I'):</t>
        </is>
      </c>
      <c r="E39" s="13" t="n">
        <v>0.0898</v>
      </c>
      <c r="F39" s="13" t="n">
        <v>-0.0699</v>
      </c>
      <c r="G39" s="13" t="n">
        <v>0.2355</v>
      </c>
    </row>
    <row r="40">
      <c r="B40" s="6" t="inlineStr">
        <is>
          <t>h_2 ('love'):</t>
        </is>
      </c>
      <c r="E40" s="13" t="n">
        <v>0.3429</v>
      </c>
      <c r="F40" s="13" t="n">
        <v>-0.0528</v>
      </c>
      <c r="G40" s="13" t="n">
        <v>0.273</v>
      </c>
    </row>
    <row r="41">
      <c r="B41" s="6" t="inlineStr">
        <is>
          <t>h_3 ('you'):</t>
        </is>
      </c>
      <c r="E41" s="13" t="n">
        <v>-0.014</v>
      </c>
      <c r="F41" s="13" t="n">
        <v>0.1824</v>
      </c>
      <c r="G41" s="13" t="n">
        <v>-0.0206</v>
      </c>
    </row>
  </sheetData>
  <mergeCells count="7">
    <mergeCell ref="B25:J25"/>
    <mergeCell ref="B20:J20"/>
    <mergeCell ref="B35:N35"/>
    <mergeCell ref="B4:N4"/>
    <mergeCell ref="B18:N18"/>
    <mergeCell ref="B2:T2"/>
    <mergeCell ref="B30:J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/>
    <row r="2">
      <c r="B2" s="10" t="inlineStr">
        <is>
          <t>Step 2: Attention Mechanism (Detailed)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5" t="n"/>
    </row>
    <row r="3"/>
    <row r="4">
      <c r="B4" s="1" t="inlineStr">
        <is>
          <t>═══ Attention Parameters ═══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5"/>
    <row r="6">
      <c r="B6" s="10" t="inlineStr">
        <is>
          <t>W_a (3×3):</t>
        </is>
      </c>
      <c r="G6" s="10" t="inlineStr">
        <is>
          <t>U_a (3×3):</t>
        </is>
      </c>
      <c r="L6" s="10" t="inlineStr">
        <is>
          <t>v_a (3):</t>
        </is>
      </c>
    </row>
    <row r="7">
      <c r="B7" s="15" t="n">
        <v>0.2</v>
      </c>
      <c r="C7" s="15" t="n">
        <v>-0.1</v>
      </c>
      <c r="D7" s="15" t="n">
        <v>0.1</v>
      </c>
      <c r="G7" s="15" t="n">
        <v>0.1</v>
      </c>
      <c r="H7" s="15" t="n">
        <v>0.2</v>
      </c>
      <c r="I7" s="15" t="n">
        <v>-0.1</v>
      </c>
      <c r="L7" s="15" t="n">
        <v>0.3</v>
      </c>
    </row>
    <row r="8">
      <c r="B8" s="15" t="n">
        <v>0.1</v>
      </c>
      <c r="C8" s="15" t="n">
        <v>0.2</v>
      </c>
      <c r="D8" s="15" t="n">
        <v>-0.2</v>
      </c>
      <c r="G8" s="15" t="n">
        <v>-0.2</v>
      </c>
      <c r="H8" s="15" t="n">
        <v>0.1</v>
      </c>
      <c r="I8" s="15" t="n">
        <v>0.2</v>
      </c>
      <c r="L8" s="15" t="n">
        <v>-0.2</v>
      </c>
    </row>
    <row r="9">
      <c r="B9" s="15" t="n">
        <v>-0.1</v>
      </c>
      <c r="C9" s="15" t="n">
        <v>0.1</v>
      </c>
      <c r="D9" s="15" t="n">
        <v>0.3</v>
      </c>
      <c r="G9" s="15" t="n">
        <v>0.2</v>
      </c>
      <c r="H9" s="15" t="n">
        <v>-0.1</v>
      </c>
      <c r="I9" s="15" t="n">
        <v>0.1</v>
      </c>
      <c r="L9" s="15" t="n">
        <v>0.4</v>
      </c>
    </row>
    <row r="10"/>
    <row r="11"/>
    <row r="12">
      <c r="B12" s="6" t="inlineStr">
        <is>
          <t>Encoder Outputs (h_1, h_2, h_3):</t>
        </is>
      </c>
    </row>
    <row r="13">
      <c r="B13" s="13" t="inlineStr">
        <is>
          <t>h_1 ('I'):</t>
        </is>
      </c>
      <c r="E13" s="13" t="n">
        <v>0.0898</v>
      </c>
      <c r="F13" s="13" t="n">
        <v>-0.0699</v>
      </c>
      <c r="G13" s="13" t="n">
        <v>0.2355</v>
      </c>
    </row>
    <row r="14">
      <c r="B14" s="13" t="inlineStr">
        <is>
          <t>h_2 ('love'):</t>
        </is>
      </c>
      <c r="E14" s="13" t="n">
        <v>0.3429</v>
      </c>
      <c r="F14" s="13" t="n">
        <v>-0.0528</v>
      </c>
      <c r="G14" s="13" t="n">
        <v>0.273</v>
      </c>
    </row>
    <row r="15">
      <c r="B15" s="13" t="inlineStr">
        <is>
          <t>h_3 ('you'):</t>
        </is>
      </c>
      <c r="E15" s="13" t="n">
        <v>-0.014</v>
      </c>
      <c r="F15" s="13" t="n">
        <v>0.1824</v>
      </c>
      <c r="G15" s="13" t="n">
        <v>-0.0206</v>
      </c>
    </row>
    <row r="16"/>
    <row r="17"/>
    <row r="18">
      <c r="B18" s="7" t="inlineStr">
        <is>
          <t>═══ Example: Decoder Step t=0 ═══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5" t="n"/>
    </row>
    <row r="19"/>
    <row r="20">
      <c r="B20" s="7" t="inlineStr">
        <is>
          <t>Decoder state s_{t-1} =</t>
        </is>
      </c>
      <c r="F20" s="17" t="n">
        <v>-0.014</v>
      </c>
      <c r="G20" s="17" t="n">
        <v>0.1824</v>
      </c>
      <c r="H20" s="17" t="n">
        <v>-0.0206</v>
      </c>
    </row>
    <row r="21"/>
    <row r="22">
      <c r="B22" s="6" t="inlineStr">
        <is>
          <t>──── Attention to h_1 ('I') ────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5" t="n"/>
    </row>
    <row r="23">
      <c r="B23" s="15" t="inlineStr">
        <is>
          <t>① W_a · s_{t-1} =</t>
        </is>
      </c>
      <c r="F23" s="15" t="n">
        <v>-0.0231</v>
      </c>
      <c r="G23" s="15" t="n">
        <v>0.0392</v>
      </c>
      <c r="H23" s="15" t="n">
        <v>0.0135</v>
      </c>
    </row>
    <row r="24">
      <c r="B24" s="15" t="inlineStr">
        <is>
          <t>② U_a · h_1 =</t>
        </is>
      </c>
      <c r="F24" s="15" t="n">
        <v>-0.0286</v>
      </c>
      <c r="G24" s="15" t="n">
        <v>0.0222</v>
      </c>
      <c r="H24" s="15" t="n">
        <v>0.0485</v>
      </c>
    </row>
    <row r="25">
      <c r="B25" s="15" t="inlineStr">
        <is>
          <t>③ tanh(① + ②) =</t>
        </is>
      </c>
      <c r="F25" s="15" t="n">
        <v>-0.0516</v>
      </c>
      <c r="G25" s="15" t="n">
        <v>0.0613</v>
      </c>
      <c r="H25" s="15" t="n">
        <v>0.0619</v>
      </c>
    </row>
    <row r="26">
      <c r="B26" s="11" t="inlineStr">
        <is>
          <t>④ e = v^T · ③ =</t>
        </is>
      </c>
      <c r="F26" s="23" t="n">
        <v>-0.003</v>
      </c>
    </row>
    <row r="27"/>
    <row r="28">
      <c r="B28" s="6" t="inlineStr">
        <is>
          <t>──── Attention to h_2 ('love') ────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5" t="n"/>
    </row>
    <row r="29">
      <c r="B29" s="15" t="inlineStr">
        <is>
          <t>① W_a · s_{t-1} =</t>
        </is>
      </c>
      <c r="F29" s="15" t="n">
        <v>-0.0231</v>
      </c>
      <c r="G29" s="15" t="n">
        <v>0.0392</v>
      </c>
      <c r="H29" s="15" t="n">
        <v>0.0135</v>
      </c>
    </row>
    <row r="30">
      <c r="B30" s="15" t="inlineStr">
        <is>
          <t>② U_a · h_2 =</t>
        </is>
      </c>
      <c r="F30" s="15" t="n">
        <v>-0.0036</v>
      </c>
      <c r="G30" s="15" t="n">
        <v>-0.0193</v>
      </c>
      <c r="H30" s="15" t="n">
        <v>0.1012</v>
      </c>
    </row>
    <row r="31">
      <c r="B31" s="15" t="inlineStr">
        <is>
          <t>③ tanh(① + ②) =</t>
        </is>
      </c>
      <c r="F31" s="15" t="n">
        <v>-0.0266</v>
      </c>
      <c r="G31" s="15" t="n">
        <v>0.0199</v>
      </c>
      <c r="H31" s="15" t="n">
        <v>0.1141</v>
      </c>
    </row>
    <row r="32">
      <c r="B32" s="11" t="inlineStr">
        <is>
          <t>④ e = v^T · ③ =</t>
        </is>
      </c>
      <c r="F32" s="23" t="n">
        <v>0.0337</v>
      </c>
    </row>
    <row r="33"/>
    <row r="34">
      <c r="B34" s="6" t="inlineStr">
        <is>
          <t>──── Attention to h_3 ('you') ────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5" t="n"/>
    </row>
    <row r="35">
      <c r="B35" s="15" t="inlineStr">
        <is>
          <t>① W_a · s_{t-1} =</t>
        </is>
      </c>
      <c r="F35" s="15" t="n">
        <v>-0.0231</v>
      </c>
      <c r="G35" s="15" t="n">
        <v>0.0392</v>
      </c>
      <c r="H35" s="15" t="n">
        <v>0.0135</v>
      </c>
    </row>
    <row r="36">
      <c r="B36" s="15" t="inlineStr">
        <is>
          <t>② U_a · h_3 =</t>
        </is>
      </c>
      <c r="F36" s="15" t="n">
        <v>0.0371</v>
      </c>
      <c r="G36" s="15" t="n">
        <v>0.0169</v>
      </c>
      <c r="H36" s="15" t="n">
        <v>-0.0231</v>
      </c>
    </row>
    <row r="37">
      <c r="B37" s="15" t="inlineStr">
        <is>
          <t>③ tanh(① + ②) =</t>
        </is>
      </c>
      <c r="F37" s="15" t="n">
        <v>0.014</v>
      </c>
      <c r="G37" s="15" t="n">
        <v>0.0561</v>
      </c>
      <c r="H37" s="15" t="n">
        <v>-0.009599999999999999</v>
      </c>
    </row>
    <row r="38">
      <c r="B38" s="11" t="inlineStr">
        <is>
          <t>④ e = v^T · ③ =</t>
        </is>
      </c>
      <c r="F38" s="23" t="n">
        <v>-0.0108</v>
      </c>
    </row>
    <row r="39"/>
    <row r="40">
      <c r="B40" s="1" t="inlineStr">
        <is>
          <t>═══ Softmax → Attention Weights ═══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5" t="n"/>
    </row>
    <row r="41"/>
    <row r="42">
      <c r="B42" s="23" t="inlineStr">
        <is>
          <t>Scores:</t>
        </is>
      </c>
      <c r="D42" s="23" t="inlineStr">
        <is>
          <t>e_1</t>
        </is>
      </c>
      <c r="F42" s="23" t="inlineStr">
        <is>
          <t>e_2</t>
        </is>
      </c>
      <c r="H42" s="23" t="inlineStr">
        <is>
          <t>e_3</t>
        </is>
      </c>
    </row>
    <row r="43">
      <c r="D43" s="23" t="n">
        <v>-0.003</v>
      </c>
      <c r="F43" s="23" t="n">
        <v>0.0337</v>
      </c>
      <c r="H43" s="23" t="n">
        <v>-0.0108</v>
      </c>
    </row>
    <row r="44"/>
    <row r="45">
      <c r="B45" s="10" t="inlineStr">
        <is>
          <t>Attention α:</t>
        </is>
      </c>
      <c r="D45" s="20" t="inlineStr">
        <is>
          <t>'I'</t>
        </is>
      </c>
      <c r="F45" s="20" t="inlineStr">
        <is>
          <t>'love'</t>
        </is>
      </c>
      <c r="H45" s="20" t="inlineStr">
        <is>
          <t>'you'</t>
        </is>
      </c>
    </row>
    <row r="46">
      <c r="D46" s="15" t="inlineStr">
        <is>
          <t>33.0%</t>
        </is>
      </c>
      <c r="F46" s="15" t="inlineStr">
        <is>
          <t>34.2%</t>
        </is>
      </c>
      <c r="H46" s="15" t="inlineStr">
        <is>
          <t>32.8%</t>
        </is>
      </c>
    </row>
    <row r="47"/>
    <row r="48">
      <c r="B48" s="21" t="inlineStr">
        <is>
          <t>═══ Context Vector ═══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5" t="n"/>
    </row>
    <row r="49"/>
    <row r="50">
      <c r="B50" s="22" t="inlineStr">
        <is>
          <t>c_t = Σ α_i · h_i</t>
        </is>
      </c>
    </row>
    <row r="51">
      <c r="B51" t="inlineStr">
        <is>
          <t>c[0] = 0.33×0.09 + 0.342×0.343 + 0.328×-0.014 = 0.1425</t>
        </is>
      </c>
    </row>
    <row r="52">
      <c r="B52" t="inlineStr">
        <is>
          <t>c[1] = 0.33×-0.07 + 0.342×-0.053 + 0.328×0.182 = 0.0186</t>
        </is>
      </c>
    </row>
    <row r="53">
      <c r="B53" t="inlineStr">
        <is>
          <t>c[2] = 0.33×0.235 + 0.342×0.273 + 0.328×-0.021 = 0.1645</t>
        </is>
      </c>
    </row>
    <row r="54"/>
    <row r="55">
      <c r="B55" s="21" t="inlineStr">
        <is>
          <t>Context c_t =</t>
        </is>
      </c>
      <c r="E55" s="16" t="n">
        <v>0.1425</v>
      </c>
      <c r="F55" s="16" t="n">
        <v>0.0186</v>
      </c>
      <c r="G55" s="16" t="n">
        <v>0.1645</v>
      </c>
    </row>
  </sheetData>
  <mergeCells count="8">
    <mergeCell ref="B22:N22"/>
    <mergeCell ref="B4:N4"/>
    <mergeCell ref="B40:N40"/>
    <mergeCell ref="B2:AH2"/>
    <mergeCell ref="B18:T18"/>
    <mergeCell ref="B48:N48"/>
    <mergeCell ref="B34:N34"/>
    <mergeCell ref="B28:N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/>
    <row r="2">
      <c r="B2" s="7" t="inlineStr">
        <is>
          <t>Step 3: Decoder with Attention (All Steps)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5" t="n"/>
    </row>
    <row r="3"/>
    <row r="4">
      <c r="B4" s="7" t="inlineStr">
        <is>
          <t>═══ Decoder Step t=0: Input='&lt;SOS&gt;' → Target='I' ═══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5" t="n"/>
    </row>
    <row r="5"/>
    <row r="6">
      <c r="B6" s="17" t="inlineStr">
        <is>
          <t>s_{t-1} =</t>
        </is>
      </c>
      <c r="E6" s="17" t="n">
        <v>-0.014</v>
      </c>
      <c r="F6" s="17" t="n">
        <v>0.1824</v>
      </c>
      <c r="G6" s="17" t="n">
        <v>-0.0206</v>
      </c>
    </row>
    <row r="7"/>
    <row r="8">
      <c r="B8" s="10" t="inlineStr">
        <is>
          <t>Attention Weights:</t>
        </is>
      </c>
    </row>
    <row r="9">
      <c r="B9" s="13" t="inlineStr">
        <is>
          <t>α('I')</t>
        </is>
      </c>
      <c r="E9" s="15" t="inlineStr">
        <is>
          <t>33.0%</t>
        </is>
      </c>
    </row>
    <row r="10">
      <c r="B10" s="13" t="inlineStr">
        <is>
          <t>α('love')</t>
        </is>
      </c>
      <c r="E10" s="15" t="inlineStr">
        <is>
          <t>34.2%</t>
        </is>
      </c>
    </row>
    <row r="11">
      <c r="B11" s="13" t="inlineStr">
        <is>
          <t>α('you')</t>
        </is>
      </c>
      <c r="E11" s="15" t="inlineStr">
        <is>
          <t>32.8%</t>
        </is>
      </c>
    </row>
    <row r="12"/>
    <row r="13">
      <c r="B13" s="21" t="inlineStr">
        <is>
          <t>Context c_t =</t>
        </is>
      </c>
      <c r="E13" s="16" t="n">
        <v>0.1425</v>
      </c>
      <c r="F13" s="16" t="n">
        <v>0.0186</v>
      </c>
      <c r="G13" s="16" t="n">
        <v>0.1645</v>
      </c>
    </row>
    <row r="14"/>
    <row r="15">
      <c r="B15" s="7" t="inlineStr">
        <is>
          <t>s_t = tanh(W·e + U·s_{t-1} + C·c_t + b):</t>
        </is>
      </c>
    </row>
    <row r="16">
      <c r="B16" s="17" t="inlineStr">
        <is>
          <t>s_t =</t>
        </is>
      </c>
      <c r="D16" s="17" t="n">
        <v>0.1108</v>
      </c>
      <c r="E16" s="17" t="n">
        <v>0.1516</v>
      </c>
      <c r="F16" s="17" t="n">
        <v>0.06320000000000001</v>
      </c>
    </row>
    <row r="17"/>
    <row r="18">
      <c r="B18" s="24" t="inlineStr">
        <is>
          <t>Output Probabilities:</t>
        </is>
      </c>
    </row>
    <row r="19">
      <c r="B19" s="20" t="inlineStr">
        <is>
          <t>&lt;PAD&gt;</t>
        </is>
      </c>
      <c r="D19" s="25" t="n">
        <v>0.1782</v>
      </c>
    </row>
    <row r="20">
      <c r="B20" s="20" t="inlineStr">
        <is>
          <t>&lt;SOS&gt;</t>
        </is>
      </c>
      <c r="D20" s="26" t="n">
        <v>0.1725</v>
      </c>
    </row>
    <row r="21">
      <c r="B21" s="20" t="inlineStr">
        <is>
          <t>&lt;EOS&gt;</t>
        </is>
      </c>
      <c r="D21" s="26" t="n">
        <v>0.1438</v>
      </c>
    </row>
    <row r="22">
      <c r="B22" s="20" t="inlineStr">
        <is>
          <t>I</t>
        </is>
      </c>
      <c r="D22" s="26" t="n">
        <v>0.1778</v>
      </c>
      <c r="F22" s="27" t="inlineStr">
        <is>
          <t xml:space="preserve"> ← Target</t>
        </is>
      </c>
    </row>
    <row r="23">
      <c r="B23" s="20" t="inlineStr">
        <is>
          <t>you</t>
        </is>
      </c>
      <c r="D23" s="26" t="n">
        <v>0.157</v>
      </c>
    </row>
    <row r="24">
      <c r="B24" s="20" t="inlineStr">
        <is>
          <t>love</t>
        </is>
      </c>
      <c r="D24" s="26" t="n">
        <v>0.1707</v>
      </c>
    </row>
    <row r="25"/>
    <row r="26">
      <c r="B26" s="28" t="inlineStr">
        <is>
          <t>Prediction: '&lt;PAD&gt;' ✗</t>
        </is>
      </c>
    </row>
    <row r="27"/>
    <row r="28"/>
    <row r="29">
      <c r="B29" s="7" t="inlineStr">
        <is>
          <t>═══ Decoder Step t=1: Input='I' → Target='you' ═══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5" t="n"/>
    </row>
    <row r="30"/>
    <row r="31">
      <c r="B31" s="17" t="inlineStr">
        <is>
          <t>s_{t-1} =</t>
        </is>
      </c>
      <c r="E31" s="17" t="n">
        <v>0.1108</v>
      </c>
      <c r="F31" s="17" t="n">
        <v>0.1516</v>
      </c>
      <c r="G31" s="17" t="n">
        <v>0.06320000000000001</v>
      </c>
    </row>
    <row r="32"/>
    <row r="33">
      <c r="B33" s="10" t="inlineStr">
        <is>
          <t>Attention Weights:</t>
        </is>
      </c>
    </row>
    <row r="34">
      <c r="B34" s="13" t="inlineStr">
        <is>
          <t>α('I')</t>
        </is>
      </c>
      <c r="E34" s="15" t="inlineStr">
        <is>
          <t>33.0%</t>
        </is>
      </c>
    </row>
    <row r="35">
      <c r="B35" s="13" t="inlineStr">
        <is>
          <t>α('love')</t>
        </is>
      </c>
      <c r="E35" s="15" t="inlineStr">
        <is>
          <t>34.2%</t>
        </is>
      </c>
    </row>
    <row r="36">
      <c r="B36" s="13" t="inlineStr">
        <is>
          <t>α('you')</t>
        </is>
      </c>
      <c r="E36" s="15" t="inlineStr">
        <is>
          <t>32.8%</t>
        </is>
      </c>
    </row>
    <row r="37"/>
    <row r="38">
      <c r="B38" s="21" t="inlineStr">
        <is>
          <t>Context c_t =</t>
        </is>
      </c>
      <c r="E38" s="16" t="n">
        <v>0.1425</v>
      </c>
      <c r="F38" s="16" t="n">
        <v>0.0186</v>
      </c>
      <c r="G38" s="16" t="n">
        <v>0.1645</v>
      </c>
    </row>
    <row r="39"/>
    <row r="40">
      <c r="B40" s="7" t="inlineStr">
        <is>
          <t>s_t = tanh(W·e + U·s_{t-1} + C·c_t + b):</t>
        </is>
      </c>
    </row>
    <row r="41">
      <c r="B41" s="17" t="inlineStr">
        <is>
          <t>s_t =</t>
        </is>
      </c>
      <c r="D41" s="17" t="n">
        <v>0.2249</v>
      </c>
      <c r="E41" s="17" t="n">
        <v>-0.0075</v>
      </c>
      <c r="F41" s="17" t="n">
        <v>0.2322</v>
      </c>
    </row>
    <row r="42"/>
    <row r="43">
      <c r="B43" s="24" t="inlineStr">
        <is>
          <t>Output Probabilities:</t>
        </is>
      </c>
    </row>
    <row r="44">
      <c r="B44" s="20" t="inlineStr">
        <is>
          <t>&lt;PAD&gt;</t>
        </is>
      </c>
      <c r="D44" s="25" t="n">
        <v>0.1988</v>
      </c>
    </row>
    <row r="45">
      <c r="B45" s="20" t="inlineStr">
        <is>
          <t>&lt;SOS&gt;</t>
        </is>
      </c>
      <c r="D45" s="26" t="n">
        <v>0.1605</v>
      </c>
    </row>
    <row r="46">
      <c r="B46" s="20" t="inlineStr">
        <is>
          <t>&lt;EOS&gt;</t>
        </is>
      </c>
      <c r="D46" s="26" t="n">
        <v>0.1452</v>
      </c>
    </row>
    <row r="47">
      <c r="B47" s="20" t="inlineStr">
        <is>
          <t>I</t>
        </is>
      </c>
      <c r="D47" s="26" t="n">
        <v>0.1898</v>
      </c>
    </row>
    <row r="48">
      <c r="B48" s="20" t="inlineStr">
        <is>
          <t>you</t>
        </is>
      </c>
      <c r="D48" s="26" t="n">
        <v>0.1453</v>
      </c>
      <c r="F48" s="27" t="inlineStr">
        <is>
          <t xml:space="preserve"> ← Target</t>
        </is>
      </c>
    </row>
    <row r="49">
      <c r="B49" s="20" t="inlineStr">
        <is>
          <t>love</t>
        </is>
      </c>
      <c r="D49" s="26" t="n">
        <v>0.1605</v>
      </c>
    </row>
    <row r="50"/>
    <row r="51">
      <c r="B51" s="28" t="inlineStr">
        <is>
          <t>Prediction: '&lt;PAD&gt;' ✗</t>
        </is>
      </c>
    </row>
    <row r="52"/>
    <row r="53"/>
    <row r="54">
      <c r="B54" s="7" t="inlineStr">
        <is>
          <t>═══ Decoder Step t=2: Input='you' → Target='love' ═══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5" t="n"/>
    </row>
    <row r="55"/>
    <row r="56">
      <c r="B56" s="17" t="inlineStr">
        <is>
          <t>s_{t-1} =</t>
        </is>
      </c>
      <c r="E56" s="17" t="n">
        <v>0.2249</v>
      </c>
      <c r="F56" s="17" t="n">
        <v>-0.0075</v>
      </c>
      <c r="G56" s="17" t="n">
        <v>0.2322</v>
      </c>
    </row>
    <row r="57"/>
    <row r="58">
      <c r="B58" s="10" t="inlineStr">
        <is>
          <t>Attention Weights:</t>
        </is>
      </c>
    </row>
    <row r="59">
      <c r="B59" s="13" t="inlineStr">
        <is>
          <t>α('I')</t>
        </is>
      </c>
      <c r="E59" s="15" t="inlineStr">
        <is>
          <t>33.0%</t>
        </is>
      </c>
    </row>
    <row r="60">
      <c r="B60" s="13" t="inlineStr">
        <is>
          <t>α('love')</t>
        </is>
      </c>
      <c r="E60" s="15" t="inlineStr">
        <is>
          <t>34.2%</t>
        </is>
      </c>
    </row>
    <row r="61">
      <c r="B61" s="13" t="inlineStr">
        <is>
          <t>α('you')</t>
        </is>
      </c>
      <c r="E61" s="15" t="inlineStr">
        <is>
          <t>32.8%</t>
        </is>
      </c>
    </row>
    <row r="62"/>
    <row r="63">
      <c r="B63" s="21" t="inlineStr">
        <is>
          <t>Context c_t =</t>
        </is>
      </c>
      <c r="E63" s="16" t="n">
        <v>0.1425</v>
      </c>
      <c r="F63" s="16" t="n">
        <v>0.0186</v>
      </c>
      <c r="G63" s="16" t="n">
        <v>0.1645</v>
      </c>
    </row>
    <row r="64"/>
    <row r="65">
      <c r="B65" s="7" t="inlineStr">
        <is>
          <t>s_t = tanh(W·e + U·s_{t-1} + C·c_t + b):</t>
        </is>
      </c>
    </row>
    <row r="66">
      <c r="B66" s="17" t="inlineStr">
        <is>
          <t>s_t =</t>
        </is>
      </c>
      <c r="D66" s="17" t="n">
        <v>0.0533</v>
      </c>
      <c r="E66" s="17" t="n">
        <v>0.3506</v>
      </c>
      <c r="F66" s="17" t="n">
        <v>0.0359</v>
      </c>
    </row>
    <row r="67"/>
    <row r="68">
      <c r="B68" s="24" t="inlineStr">
        <is>
          <t>Output Probabilities:</t>
        </is>
      </c>
    </row>
    <row r="69">
      <c r="B69" s="20" t="inlineStr">
        <is>
          <t>&lt;PAD&gt;</t>
        </is>
      </c>
      <c r="D69" s="26" t="n">
        <v>0.1639</v>
      </c>
    </row>
    <row r="70">
      <c r="B70" s="20" t="inlineStr">
        <is>
          <t>&lt;SOS&gt;</t>
        </is>
      </c>
      <c r="D70" s="25" t="n">
        <v>0.1802</v>
      </c>
    </row>
    <row r="71">
      <c r="B71" s="20" t="inlineStr">
        <is>
          <t>&lt;EOS&gt;</t>
        </is>
      </c>
      <c r="D71" s="26" t="n">
        <v>0.1449</v>
      </c>
    </row>
    <row r="72">
      <c r="B72" s="20" t="inlineStr">
        <is>
          <t>I</t>
        </is>
      </c>
      <c r="D72" s="26" t="n">
        <v>0.1683</v>
      </c>
    </row>
    <row r="73">
      <c r="B73" s="20" t="inlineStr">
        <is>
          <t>you</t>
        </is>
      </c>
      <c r="D73" s="26" t="n">
        <v>0.1683</v>
      </c>
    </row>
    <row r="74">
      <c r="B74" s="20" t="inlineStr">
        <is>
          <t>love</t>
        </is>
      </c>
      <c r="D74" s="26" t="n">
        <v>0.1743</v>
      </c>
      <c r="F74" s="27" t="inlineStr">
        <is>
          <t xml:space="preserve"> ← Target</t>
        </is>
      </c>
    </row>
    <row r="75"/>
    <row r="76">
      <c r="B76" s="28" t="inlineStr">
        <is>
          <t>Prediction: '&lt;SOS&gt;' ✗</t>
        </is>
      </c>
    </row>
    <row r="77"/>
    <row r="78"/>
    <row r="79">
      <c r="B79" s="7" t="inlineStr">
        <is>
          <t>═══ Decoder Step t=3: Input='love' → Target='&lt;EOS&gt;' ═══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5" t="n"/>
    </row>
    <row r="80"/>
    <row r="81">
      <c r="B81" s="17" t="inlineStr">
        <is>
          <t>s_{t-1} =</t>
        </is>
      </c>
      <c r="E81" s="17" t="n">
        <v>0.0533</v>
      </c>
      <c r="F81" s="17" t="n">
        <v>0.3506</v>
      </c>
      <c r="G81" s="17" t="n">
        <v>0.0359</v>
      </c>
    </row>
    <row r="82"/>
    <row r="83">
      <c r="B83" s="10" t="inlineStr">
        <is>
          <t>Attention Weights:</t>
        </is>
      </c>
    </row>
    <row r="84">
      <c r="B84" s="13" t="inlineStr">
        <is>
          <t>α('I')</t>
        </is>
      </c>
      <c r="E84" s="15" t="inlineStr">
        <is>
          <t>33.0%</t>
        </is>
      </c>
    </row>
    <row r="85">
      <c r="B85" s="13" t="inlineStr">
        <is>
          <t>α('love')</t>
        </is>
      </c>
      <c r="E85" s="15" t="inlineStr">
        <is>
          <t>34.2%</t>
        </is>
      </c>
    </row>
    <row r="86">
      <c r="B86" s="13" t="inlineStr">
        <is>
          <t>α('you')</t>
        </is>
      </c>
      <c r="E86" s="15" t="inlineStr">
        <is>
          <t>32.8%</t>
        </is>
      </c>
    </row>
    <row r="87"/>
    <row r="88">
      <c r="B88" s="21" t="inlineStr">
        <is>
          <t>Context c_t =</t>
        </is>
      </c>
      <c r="E88" s="16" t="n">
        <v>0.1425</v>
      </c>
      <c r="F88" s="16" t="n">
        <v>0.0186</v>
      </c>
      <c r="G88" s="16" t="n">
        <v>0.1645</v>
      </c>
    </row>
    <row r="89"/>
    <row r="90">
      <c r="B90" s="7" t="inlineStr">
        <is>
          <t>s_t = tanh(W·e + U·s_{t-1} + C·c_t + b):</t>
        </is>
      </c>
    </row>
    <row r="91">
      <c r="B91" s="17" t="inlineStr">
        <is>
          <t>s_t =</t>
        </is>
      </c>
      <c r="D91" s="17" t="n">
        <v>0.3687</v>
      </c>
      <c r="E91" s="17" t="n">
        <v>-0.08450000000000001</v>
      </c>
      <c r="F91" s="17" t="n">
        <v>0.0069</v>
      </c>
    </row>
    <row r="92"/>
    <row r="93">
      <c r="B93" s="24" t="inlineStr">
        <is>
          <t>Output Probabilities:</t>
        </is>
      </c>
    </row>
    <row r="94">
      <c r="B94" s="20" t="inlineStr">
        <is>
          <t>&lt;PAD&gt;</t>
        </is>
      </c>
      <c r="D94" s="25" t="n">
        <v>0.2024</v>
      </c>
    </row>
    <row r="95">
      <c r="B95" s="20" t="inlineStr">
        <is>
          <t>&lt;SOS&gt;</t>
        </is>
      </c>
      <c r="D95" s="26" t="n">
        <v>0.1648</v>
      </c>
    </row>
    <row r="96">
      <c r="B96" s="20" t="inlineStr">
        <is>
          <t>&lt;EOS&gt;</t>
        </is>
      </c>
      <c r="D96" s="26" t="n">
        <v>0.1296</v>
      </c>
      <c r="F96" s="27" t="inlineStr">
        <is>
          <t xml:space="preserve"> ← Target</t>
        </is>
      </c>
    </row>
    <row r="97">
      <c r="B97" s="20" t="inlineStr">
        <is>
          <t>I</t>
        </is>
      </c>
      <c r="D97" s="26" t="n">
        <v>0.1933</v>
      </c>
    </row>
    <row r="98">
      <c r="B98" s="20" t="inlineStr">
        <is>
          <t>you</t>
        </is>
      </c>
      <c r="D98" s="26" t="n">
        <v>0.1375</v>
      </c>
    </row>
    <row r="99">
      <c r="B99" s="20" t="inlineStr">
        <is>
          <t>love</t>
        </is>
      </c>
      <c r="D99" s="26" t="n">
        <v>0.1723</v>
      </c>
    </row>
    <row r="100"/>
    <row r="101">
      <c r="B101" s="28" t="inlineStr">
        <is>
          <t>Prediction: '&lt;PAD&gt;' ✗</t>
        </is>
      </c>
    </row>
  </sheetData>
  <mergeCells count="5">
    <mergeCell ref="B54:V54"/>
    <mergeCell ref="B29:V29"/>
    <mergeCell ref="B2:AH2"/>
    <mergeCell ref="B79:V79"/>
    <mergeCell ref="B4:V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/>
    <row r="2">
      <c r="B2" s="10" t="inlineStr">
        <is>
          <t>Attention Weights Visualization (Alignment)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5" t="n"/>
    </row>
    <row r="3"/>
    <row r="4">
      <c r="B4" t="inlineStr">
        <is>
          <t>Visualize which Encoder positions Decoder attends to at each step</t>
        </is>
      </c>
    </row>
    <row r="5"/>
    <row r="6"/>
    <row r="7">
      <c r="B7" s="1" t="inlineStr">
        <is>
          <t>═══ Attention Matrix ═══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5" t="n"/>
    </row>
    <row r="8"/>
    <row r="9">
      <c r="B9" s="1" t="inlineStr">
        <is>
          <t>Decoder↓ Encoder→</t>
        </is>
      </c>
      <c r="D9" s="6" t="inlineStr">
        <is>
          <t>'I'</t>
        </is>
      </c>
      <c r="F9" s="6" t="inlineStr">
        <is>
          <t>'love'</t>
        </is>
      </c>
      <c r="H9" s="6" t="inlineStr">
        <is>
          <t>'you'</t>
        </is>
      </c>
    </row>
    <row r="10">
      <c r="B10" s="7" t="inlineStr">
        <is>
          <t>t=0 '&lt;SOS&gt;'</t>
        </is>
      </c>
      <c r="D10" s="23" t="inlineStr">
        <is>
          <t>33.0%</t>
        </is>
      </c>
      <c r="F10" s="23" t="inlineStr">
        <is>
          <t>34.2%</t>
        </is>
      </c>
      <c r="H10" s="23" t="inlineStr">
        <is>
          <t>32.8%</t>
        </is>
      </c>
    </row>
    <row r="11">
      <c r="B11" s="7" t="inlineStr">
        <is>
          <t>t=1 'I'</t>
        </is>
      </c>
      <c r="D11" s="23" t="inlineStr">
        <is>
          <t>33.0%</t>
        </is>
      </c>
      <c r="F11" s="23" t="inlineStr">
        <is>
          <t>34.2%</t>
        </is>
      </c>
      <c r="H11" s="23" t="inlineStr">
        <is>
          <t>32.8%</t>
        </is>
      </c>
    </row>
    <row r="12">
      <c r="B12" s="7" t="inlineStr">
        <is>
          <t>t=2 'you'</t>
        </is>
      </c>
      <c r="D12" s="23" t="inlineStr">
        <is>
          <t>33.0%</t>
        </is>
      </c>
      <c r="F12" s="23" t="inlineStr">
        <is>
          <t>34.2%</t>
        </is>
      </c>
      <c r="H12" s="23" t="inlineStr">
        <is>
          <t>32.8%</t>
        </is>
      </c>
    </row>
    <row r="13">
      <c r="B13" s="7" t="inlineStr">
        <is>
          <t>t=3 'love'</t>
        </is>
      </c>
      <c r="D13" s="23" t="inlineStr">
        <is>
          <t>33.0%</t>
        </is>
      </c>
      <c r="F13" s="23" t="inlineStr">
        <is>
          <t>34.2%</t>
        </is>
      </c>
      <c r="H13" s="23" t="inlineStr">
        <is>
          <t>32.8%</t>
        </is>
      </c>
    </row>
    <row r="14"/>
    <row r="15"/>
    <row r="16"/>
    <row r="17">
      <c r="B17" s="1" t="inlineStr">
        <is>
          <t>═══ Interpretation ═══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5" t="n"/>
    </row>
    <row r="18"/>
    <row r="19">
      <c r="B19" t="inlineStr">
        <is>
          <t>• High attention weight = More attention to that encoder position</t>
        </is>
      </c>
    </row>
    <row r="20">
      <c r="B20" t="inlineStr">
        <is>
          <t>• High attention to 'I' when generating 'I' → Subject correspondence</t>
        </is>
      </c>
    </row>
    <row r="21">
      <c r="B21" t="inlineStr">
        <is>
          <t>• High attention to 'love' when generating 'love' → Verb correspondence</t>
        </is>
      </c>
    </row>
    <row r="22">
      <c r="B22" t="inlineStr">
        <is>
          <t>• High attention to 'you' when generating 'you' → Object correspondence</t>
        </is>
      </c>
    </row>
    <row r="23"/>
    <row r="24">
      <c r="B24" t="inlineStr">
        <is>
          <t>• This alignment learns the 'correspondence' in translation</t>
        </is>
      </c>
    </row>
    <row r="25">
      <c r="B25" t="inlineStr">
        <is>
          <t>• Key idea of Neural Machine Translation!</t>
        </is>
      </c>
    </row>
    <row r="26"/>
    <row r="27"/>
    <row r="28">
      <c r="B28" s="1" t="inlineStr">
        <is>
          <t>═══ Visual Alignment ═══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5" t="n"/>
    </row>
    <row r="29"/>
    <row r="30">
      <c r="B30" s="6" t="inlineStr">
        <is>
          <t>Source:</t>
        </is>
      </c>
      <c r="D30" s="13" t="inlineStr">
        <is>
          <t>I</t>
        </is>
      </c>
      <c r="G30" s="13" t="inlineStr">
        <is>
          <t>love</t>
        </is>
      </c>
      <c r="J30" s="13" t="inlineStr">
        <is>
          <t>you</t>
        </is>
      </c>
    </row>
    <row r="31"/>
    <row r="32">
      <c r="B32" s="10" t="inlineStr">
        <is>
          <t>Alignment:</t>
        </is>
      </c>
    </row>
    <row r="33">
      <c r="B33" s="17" t="inlineStr">
        <is>
          <t>'I'</t>
        </is>
      </c>
      <c r="D33" s="29" t="inlineStr">
        <is>
          <t>←→</t>
        </is>
      </c>
      <c r="E33" s="13" t="inlineStr">
        <is>
          <t>'I'</t>
        </is>
      </c>
    </row>
    <row r="34">
      <c r="B34" s="17" t="inlineStr">
        <is>
          <t>'you'</t>
        </is>
      </c>
      <c r="D34" s="29" t="inlineStr">
        <is>
          <t>←→</t>
        </is>
      </c>
      <c r="E34" s="13" t="inlineStr">
        <is>
          <t>'you'</t>
        </is>
      </c>
    </row>
    <row r="35">
      <c r="B35" s="17" t="inlineStr">
        <is>
          <t>'love'</t>
        </is>
      </c>
      <c r="D35" s="29" t="inlineStr">
        <is>
          <t>←→</t>
        </is>
      </c>
      <c r="E35" s="13" t="inlineStr">
        <is>
          <t>'love'</t>
        </is>
      </c>
    </row>
  </sheetData>
  <mergeCells count="4">
    <mergeCell ref="B28:N28"/>
    <mergeCell ref="B2:T2"/>
    <mergeCell ref="B17:N17"/>
    <mergeCell ref="B7:N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/>
    <row r="2">
      <c r="B2" s="1" t="inlineStr">
        <is>
          <t>Basic Seq2Seq vs Seq2Seq + Attention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5" t="n"/>
    </row>
    <row r="3"/>
    <row r="4">
      <c r="B4" s="20" t="inlineStr"/>
      <c r="E4" s="30" t="inlineStr">
        <is>
          <t>Basic Seq2Seq</t>
        </is>
      </c>
      <c r="F4" s="4" t="n"/>
      <c r="G4" s="4" t="n"/>
      <c r="H4" s="4" t="n"/>
      <c r="I4" s="4" t="n"/>
      <c r="J4" s="5" t="n"/>
      <c r="L4" s="31" t="inlineStr">
        <is>
          <t>Seq2Seq + Attention</t>
        </is>
      </c>
      <c r="M4" s="4" t="n"/>
      <c r="N4" s="4" t="n"/>
      <c r="O4" s="4" t="n"/>
      <c r="P4" s="4" t="n"/>
      <c r="Q4" s="5" t="n"/>
    </row>
    <row r="5">
      <c r="B5" s="1" t="inlineStr">
        <is>
          <t>Context Vector</t>
        </is>
      </c>
      <c r="E5" s="32" t="inlineStr">
        <is>
          <t>Fixed (using only last h)</t>
        </is>
      </c>
      <c r="F5" s="4" t="n"/>
      <c r="G5" s="4" t="n"/>
      <c r="H5" s="4" t="n"/>
      <c r="I5" s="4" t="n"/>
      <c r="J5" s="5" t="n"/>
      <c r="L5" s="25" t="inlineStr">
        <is>
          <t>Dynamic (calculated each step)</t>
        </is>
      </c>
      <c r="M5" s="4" t="n"/>
      <c r="N5" s="4" t="n"/>
      <c r="O5" s="4" t="n"/>
      <c r="P5" s="4" t="n"/>
      <c r="Q5" s="5" t="n"/>
    </row>
    <row r="6">
      <c r="B6" s="1" t="inlineStr">
        <is>
          <t>Long sequence</t>
        </is>
      </c>
      <c r="E6" s="32" t="inlineStr">
        <is>
          <t>Severe information loss</t>
        </is>
      </c>
      <c r="F6" s="4" t="n"/>
      <c r="G6" s="4" t="n"/>
      <c r="H6" s="4" t="n"/>
      <c r="I6" s="4" t="n"/>
      <c r="J6" s="5" t="n"/>
      <c r="L6" s="25" t="inlineStr">
        <is>
          <t>Can reference all positions</t>
        </is>
      </c>
      <c r="M6" s="4" t="n"/>
      <c r="N6" s="4" t="n"/>
      <c r="O6" s="4" t="n"/>
      <c r="P6" s="4" t="n"/>
      <c r="Q6" s="5" t="n"/>
    </row>
    <row r="7">
      <c r="B7" s="1" t="inlineStr">
        <is>
          <t>Interpretability</t>
        </is>
      </c>
      <c r="E7" s="32" t="inlineStr">
        <is>
          <t>Black box</t>
        </is>
      </c>
      <c r="F7" s="4" t="n"/>
      <c r="G7" s="4" t="n"/>
      <c r="H7" s="4" t="n"/>
      <c r="I7" s="4" t="n"/>
      <c r="J7" s="5" t="n"/>
      <c r="L7" s="25" t="inlineStr">
        <is>
          <t>Visualize with Attention</t>
        </is>
      </c>
      <c r="M7" s="4" t="n"/>
      <c r="N7" s="4" t="n"/>
      <c r="O7" s="4" t="n"/>
      <c r="P7" s="4" t="n"/>
      <c r="Q7" s="5" t="n"/>
    </row>
    <row r="8">
      <c r="B8" s="1" t="inlineStr">
        <is>
          <t>Computation</t>
        </is>
      </c>
      <c r="E8" s="32" t="inlineStr">
        <is>
          <t>Less</t>
        </is>
      </c>
      <c r="F8" s="4" t="n"/>
      <c r="G8" s="4" t="n"/>
      <c r="H8" s="4" t="n"/>
      <c r="I8" s="4" t="n"/>
      <c r="J8" s="5" t="n"/>
      <c r="L8" s="25" t="inlineStr">
        <is>
          <t>O(n²) additional</t>
        </is>
      </c>
      <c r="M8" s="4" t="n"/>
      <c r="N8" s="4" t="n"/>
      <c r="O8" s="4" t="n"/>
      <c r="P8" s="4" t="n"/>
      <c r="Q8" s="5" t="n"/>
    </row>
    <row r="9">
      <c r="B9" s="1" t="inlineStr">
        <is>
          <t>Performance</t>
        </is>
      </c>
      <c r="E9" s="32" t="inlineStr">
        <is>
          <t>Basic</t>
        </is>
      </c>
      <c r="F9" s="4" t="n"/>
      <c r="G9" s="4" t="n"/>
      <c r="H9" s="4" t="n"/>
      <c r="I9" s="4" t="n"/>
      <c r="J9" s="5" t="n"/>
      <c r="L9" s="25" t="inlineStr">
        <is>
          <t>Much better</t>
        </is>
      </c>
      <c r="M9" s="4" t="n"/>
      <c r="N9" s="4" t="n"/>
      <c r="O9" s="4" t="n"/>
      <c r="P9" s="4" t="n"/>
      <c r="Q9" s="5" t="n"/>
    </row>
    <row r="10"/>
    <row r="11"/>
    <row r="12">
      <c r="B12" s="1" t="inlineStr">
        <is>
          <t>═══ Historical Note ═══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5" t="n"/>
    </row>
    <row r="13"/>
    <row r="14">
      <c r="B14" t="inlineStr">
        <is>
          <t>• 2014: Seq2Seq (Sutskever et al.) - Basic Encoder-Decoder</t>
        </is>
      </c>
    </row>
    <row r="15">
      <c r="B15" t="inlineStr">
        <is>
          <t>• 2015: Attention (Bahdanau et al.) - Dynamic context vector</t>
        </is>
      </c>
    </row>
    <row r="16">
      <c r="B16" t="inlineStr">
        <is>
          <t>• 2017: Transformer (Vaswani et al.) - Using only Self-Attention</t>
        </is>
      </c>
    </row>
    <row r="17"/>
    <row r="18">
      <c r="B18" t="inlineStr">
        <is>
          <t>Attention mechanism is a key technology in modern NLP!</t>
        </is>
      </c>
    </row>
  </sheetData>
  <mergeCells count="14">
    <mergeCell ref="L7:Q7"/>
    <mergeCell ref="B12:P12"/>
    <mergeCell ref="B2:V2"/>
    <mergeCell ref="L5:Q5"/>
    <mergeCell ref="E5:J5"/>
    <mergeCell ref="E9:J9"/>
    <mergeCell ref="E8:J8"/>
    <mergeCell ref="L9:Q9"/>
    <mergeCell ref="L8:Q8"/>
    <mergeCell ref="E4:J4"/>
    <mergeCell ref="E6:J6"/>
    <mergeCell ref="L4:Q4"/>
    <mergeCell ref="L6:Q6"/>
    <mergeCell ref="E7:J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1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/>
    <row r="2">
      <c r="B2" s="33" t="inlineStr">
        <is>
          <t>Seq2Seq + Attention Backward Pass - Original → Gradient → Updated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5" t="n"/>
    </row>
    <row r="3"/>
    <row r="4">
      <c r="B4" s="34" t="inlineStr">
        <is>
          <t>Learning Rate: 0.1</t>
        </is>
      </c>
    </row>
    <row r="5"/>
    <row r="6">
      <c r="B6" s="24" t="inlineStr">
        <is>
          <t>═══ 1. Decoder Output Layer Gradients (t=3: love→&lt;EOS&gt;) ═══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5" t="n"/>
    </row>
    <row r="7"/>
    <row r="8">
      <c r="B8" s="35" t="inlineStr">
        <is>
          <t>Target: '&lt;EOS&gt;' (index=2)</t>
        </is>
      </c>
    </row>
    <row r="9">
      <c r="B9" s="12" t="inlineStr">
        <is>
          <t>Predicted probs: [0.2024, 0.1648, 0.1296, 0.1933, 0.1375, 0.1723]</t>
        </is>
      </c>
    </row>
    <row r="10"/>
    <row r="11">
      <c r="B11" s="30" t="inlineStr">
        <is>
          <t>dL/d_logits = softmax(logits) - one_hot(target):</t>
        </is>
      </c>
    </row>
    <row r="12">
      <c r="B12" s="20" t="inlineStr">
        <is>
          <t>&lt;PAD&gt;</t>
        </is>
      </c>
      <c r="D12" s="32" t="n">
        <v>0.2024</v>
      </c>
    </row>
    <row r="13">
      <c r="B13" s="20" t="inlineStr">
        <is>
          <t>&lt;SOS&gt;</t>
        </is>
      </c>
      <c r="D13" s="32" t="n">
        <v>0.1648</v>
      </c>
    </row>
    <row r="14">
      <c r="B14" s="20" t="inlineStr">
        <is>
          <t>&lt;EOS&gt;</t>
        </is>
      </c>
      <c r="D14" s="32" t="n">
        <v>-0.8704</v>
      </c>
      <c r="F14" s="36" t="inlineStr">
        <is>
          <t>← Target</t>
        </is>
      </c>
    </row>
    <row r="15">
      <c r="B15" s="20" t="inlineStr">
        <is>
          <t>I</t>
        </is>
      </c>
      <c r="D15" s="32" t="n">
        <v>0.1933</v>
      </c>
    </row>
    <row r="16">
      <c r="B16" s="20" t="inlineStr">
        <is>
          <t>you</t>
        </is>
      </c>
      <c r="D16" s="32" t="n">
        <v>0.1375</v>
      </c>
    </row>
    <row r="17">
      <c r="B17" s="20" t="inlineStr">
        <is>
          <t>love</t>
        </is>
      </c>
      <c r="D17" s="32" t="n">
        <v>0.1723</v>
      </c>
    </row>
    <row r="18"/>
    <row r="19"/>
    <row r="20">
      <c r="B20" s="24" t="inlineStr">
        <is>
          <t>dec_Why Update (first 3 rows):</t>
        </is>
      </c>
    </row>
    <row r="21">
      <c r="B21" s="20" t="inlineStr"/>
      <c r="D21" s="24" t="inlineStr">
        <is>
          <t>Original</t>
        </is>
      </c>
      <c r="H21" s="30" t="inlineStr">
        <is>
          <t>Gradient</t>
        </is>
      </c>
      <c r="L21" s="31" t="inlineStr">
        <is>
          <t>Updated</t>
        </is>
      </c>
    </row>
    <row r="22">
      <c r="B22" s="20" t="inlineStr">
        <is>
          <t>&lt;PAD&gt;</t>
        </is>
      </c>
      <c r="D22" s="18" t="n">
        <v>0.4</v>
      </c>
      <c r="E22" s="18" t="n">
        <v>-0.2</v>
      </c>
      <c r="F22" s="18" t="n">
        <v>0.3</v>
      </c>
      <c r="H22" s="32" t="n">
        <v>0.0746</v>
      </c>
      <c r="I22" s="32" t="n">
        <v>-0.0171</v>
      </c>
      <c r="J22" s="32" t="n">
        <v>0.0014</v>
      </c>
      <c r="L22" s="25" t="n">
        <v>0.393</v>
      </c>
      <c r="M22" s="25" t="n">
        <v>-0.198</v>
      </c>
      <c r="N22" s="25" t="n">
        <v>0.3</v>
      </c>
    </row>
    <row r="23">
      <c r="B23" s="20" t="inlineStr">
        <is>
          <t>&lt;SOS&gt;</t>
        </is>
      </c>
      <c r="D23" s="18" t="n">
        <v>0.1</v>
      </c>
      <c r="E23" s="18" t="n">
        <v>0.3</v>
      </c>
      <c r="F23" s="18" t="n">
        <v>-0.1</v>
      </c>
      <c r="H23" s="32" t="n">
        <v>0.0608</v>
      </c>
      <c r="I23" s="32" t="n">
        <v>-0.0139</v>
      </c>
      <c r="J23" s="32" t="n">
        <v>0.0011</v>
      </c>
      <c r="L23" s="25" t="n">
        <v>0.094</v>
      </c>
      <c r="M23" s="25" t="n">
        <v>0.301</v>
      </c>
      <c r="N23" s="25" t="n">
        <v>-0.1</v>
      </c>
    </row>
    <row r="24">
      <c r="B24" s="20" t="inlineStr">
        <is>
          <t>&lt;EOS&gt;</t>
        </is>
      </c>
      <c r="D24" s="18" t="n">
        <v>-0.2</v>
      </c>
      <c r="E24" s="18" t="n">
        <v>0.1</v>
      </c>
      <c r="F24" s="18" t="n">
        <v>0.4</v>
      </c>
      <c r="H24" s="32" t="n">
        <v>-0.321</v>
      </c>
      <c r="I24" s="32" t="n">
        <v>0.0735</v>
      </c>
      <c r="J24" s="32" t="n">
        <v>-0.006</v>
      </c>
      <c r="L24" s="25" t="n">
        <v>-0.168</v>
      </c>
      <c r="M24" s="25" t="n">
        <v>0.093</v>
      </c>
      <c r="N24" s="25" t="n">
        <v>0.401</v>
      </c>
    </row>
    <row r="25"/>
    <row r="26"/>
    <row r="27">
      <c r="B27" s="7" t="inlineStr">
        <is>
          <t>═══ 2. Gradient to Decoder Hidden State ═══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5" t="n"/>
    </row>
    <row r="28"/>
    <row r="29">
      <c r="B29" s="7" t="inlineStr">
        <is>
          <t>dL/ds_t = dec_Why^T @ dL/d_logits:</t>
        </is>
      </c>
    </row>
    <row r="30">
      <c r="B30" s="17" t="inlineStr">
        <is>
          <t xml:space="preserve">  dL/ds[0]</t>
        </is>
      </c>
      <c r="D30" s="17">
        <f> 0.3502</f>
        <v/>
      </c>
    </row>
    <row r="31">
      <c r="B31" s="17" t="inlineStr">
        <is>
          <t xml:space="preserve">  dL/ds[1]</t>
        </is>
      </c>
      <c r="D31" s="17">
        <f> -0.0079</f>
        <v/>
      </c>
    </row>
    <row r="32">
      <c r="B32" s="17" t="inlineStr">
        <is>
          <t xml:space="preserve">  dL/ds[2]</t>
        </is>
      </c>
      <c r="D32" s="17">
        <f> -0.286</f>
        <v/>
      </c>
    </row>
    <row r="33"/>
    <row r="34"/>
    <row r="35">
      <c r="B35" s="37" t="inlineStr">
        <is>
          <t>dL/dz_s = dL/ds_t ⊙ (1 - s_t²)  [tanh derivative]:</t>
        </is>
      </c>
    </row>
    <row r="36">
      <c r="B36" s="38" t="inlineStr">
        <is>
          <t xml:space="preserve">  dL/dz[0]</t>
        </is>
      </c>
      <c r="D36">
        <f> 0.3502 × (1 - 0.3687²)</f>
        <v/>
      </c>
      <c r="N36" s="38">
        <f> 0.3026</f>
        <v/>
      </c>
    </row>
    <row r="37">
      <c r="B37" s="38" t="inlineStr">
        <is>
          <t xml:space="preserve">  dL/dz[1]</t>
        </is>
      </c>
      <c r="D37">
        <f> -0.0079 × (1 - -0.0845²)</f>
        <v/>
      </c>
      <c r="N37" s="38">
        <f> -0.0079</f>
        <v/>
      </c>
    </row>
    <row r="38">
      <c r="B38" s="38" t="inlineStr">
        <is>
          <t xml:space="preserve">  dL/dz[2]</t>
        </is>
      </c>
      <c r="D38">
        <f> -0.286 × (1 - 0.0069²)</f>
        <v/>
      </c>
      <c r="N38" s="38">
        <f> -0.2859</f>
        <v/>
      </c>
    </row>
    <row r="39"/>
    <row r="40"/>
    <row r="41">
      <c r="B41" s="7" t="inlineStr">
        <is>
          <t>═══ 3. Decoder RNN Weight Gradients ═══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5" t="n"/>
    </row>
    <row r="42"/>
    <row r="43">
      <c r="B43" s="7" t="inlineStr">
        <is>
          <t>dec_Wxh Update:</t>
        </is>
      </c>
    </row>
    <row r="44">
      <c r="B44" s="20" t="inlineStr"/>
      <c r="D44" s="7" t="inlineStr">
        <is>
          <t>Original</t>
        </is>
      </c>
      <c r="H44" s="30" t="inlineStr">
        <is>
          <t>Gradient</t>
        </is>
      </c>
      <c r="L44" s="31" t="inlineStr">
        <is>
          <t>Updated</t>
        </is>
      </c>
    </row>
    <row r="45">
      <c r="B45" s="17" t="inlineStr">
        <is>
          <t>Wxh[0]</t>
        </is>
      </c>
      <c r="D45" s="17" t="n">
        <v>0.3</v>
      </c>
      <c r="E45" s="17" t="n">
        <v>-0.2</v>
      </c>
      <c r="F45" s="17" t="n">
        <v>0.1</v>
      </c>
      <c r="H45" s="32" t="n">
        <v>0.09080000000000001</v>
      </c>
      <c r="I45" s="32" t="n">
        <v>-0.0024</v>
      </c>
      <c r="J45" s="32" t="n">
        <v>-0.0858</v>
      </c>
      <c r="L45" s="25" t="n">
        <v>0.291</v>
      </c>
      <c r="M45" s="25" t="n">
        <v>-0.2</v>
      </c>
      <c r="N45" s="25" t="n">
        <v>0.109</v>
      </c>
    </row>
    <row r="46">
      <c r="B46" s="17" t="inlineStr">
        <is>
          <t>Wxh[1]</t>
        </is>
      </c>
      <c r="D46" s="17" t="n">
        <v>-0.1</v>
      </c>
      <c r="E46" s="17" t="n">
        <v>0.4</v>
      </c>
      <c r="F46" s="17" t="n">
        <v>0.2</v>
      </c>
      <c r="H46" s="32" t="n">
        <v>-0.09080000000000001</v>
      </c>
      <c r="I46" s="32" t="n">
        <v>0.0024</v>
      </c>
      <c r="J46" s="32" t="n">
        <v>0.0858</v>
      </c>
      <c r="L46" s="25" t="n">
        <v>-0.091</v>
      </c>
      <c r="M46" s="25" t="n">
        <v>0.4</v>
      </c>
      <c r="N46" s="25" t="n">
        <v>0.191</v>
      </c>
    </row>
    <row r="47">
      <c r="B47" s="17" t="inlineStr">
        <is>
          <t>Wxh[2]</t>
        </is>
      </c>
      <c r="D47" s="17" t="n">
        <v>0.2</v>
      </c>
      <c r="E47" s="17" t="n">
        <v>0.1</v>
      </c>
      <c r="F47" s="17" t="n">
        <v>-0.3</v>
      </c>
      <c r="H47" s="32" t="n">
        <v>0.121</v>
      </c>
      <c r="I47" s="32" t="n">
        <v>-0.0032</v>
      </c>
      <c r="J47" s="32" t="n">
        <v>-0.1144</v>
      </c>
      <c r="L47" s="25" t="n">
        <v>0.188</v>
      </c>
      <c r="M47" s="25" t="n">
        <v>0.1</v>
      </c>
      <c r="N47" s="25" t="n">
        <v>-0.289</v>
      </c>
    </row>
    <row r="48">
      <c r="B48" s="17" t="inlineStr">
        <is>
          <t>Wxh[3]</t>
        </is>
      </c>
      <c r="D48" s="17" t="n">
        <v>0.1</v>
      </c>
      <c r="E48" s="17" t="n">
        <v>-0.2</v>
      </c>
      <c r="F48" s="17" t="n">
        <v>0.4</v>
      </c>
      <c r="H48" s="32" t="n">
        <v>0.1513</v>
      </c>
      <c r="I48" s="32" t="n">
        <v>-0.0039</v>
      </c>
      <c r="J48" s="32" t="n">
        <v>-0.143</v>
      </c>
      <c r="L48" s="25" t="n">
        <v>0.08500000000000001</v>
      </c>
      <c r="M48" s="25" t="n">
        <v>-0.2</v>
      </c>
      <c r="N48" s="25" t="n">
        <v>0.414</v>
      </c>
    </row>
    <row r="49"/>
    <row r="50"/>
    <row r="51">
      <c r="B51" s="7" t="inlineStr">
        <is>
          <t>dec_Whh Update:</t>
        </is>
      </c>
    </row>
    <row r="52">
      <c r="B52" s="20" t="inlineStr"/>
      <c r="D52" s="7" t="inlineStr">
        <is>
          <t>Original</t>
        </is>
      </c>
      <c r="H52" s="30" t="inlineStr">
        <is>
          <t>Gradient</t>
        </is>
      </c>
      <c r="L52" s="31" t="inlineStr">
        <is>
          <t>Updated</t>
        </is>
      </c>
    </row>
    <row r="53">
      <c r="B53" s="17" t="inlineStr">
        <is>
          <t>Whh[0]</t>
        </is>
      </c>
      <c r="D53" s="17" t="n">
        <v>0.3</v>
      </c>
      <c r="E53" s="17" t="n">
        <v>-0.1</v>
      </c>
      <c r="F53" s="17" t="n">
        <v>0.2</v>
      </c>
      <c r="H53" s="32" t="n">
        <v>0.0161</v>
      </c>
      <c r="I53" s="32" t="n">
        <v>-0.0004</v>
      </c>
      <c r="J53" s="32" t="n">
        <v>-0.0152</v>
      </c>
      <c r="L53" s="25" t="n">
        <v>0.298</v>
      </c>
      <c r="M53" s="25" t="n">
        <v>-0.1</v>
      </c>
      <c r="N53" s="25" t="n">
        <v>0.202</v>
      </c>
    </row>
    <row r="54">
      <c r="B54" s="17" t="inlineStr">
        <is>
          <t>Whh[1]</t>
        </is>
      </c>
      <c r="D54" s="17" t="n">
        <v>0.1</v>
      </c>
      <c r="E54" s="17" t="n">
        <v>0.2</v>
      </c>
      <c r="F54" s="17" t="n">
        <v>-0.1</v>
      </c>
      <c r="H54" s="32" t="n">
        <v>0.1061</v>
      </c>
      <c r="I54" s="32" t="n">
        <v>-0.0028</v>
      </c>
      <c r="J54" s="32" t="n">
        <v>-0.1003</v>
      </c>
      <c r="L54" s="25" t="n">
        <v>0.089</v>
      </c>
      <c r="M54" s="25" t="n">
        <v>0.2</v>
      </c>
      <c r="N54" s="25" t="n">
        <v>-0.09</v>
      </c>
    </row>
    <row r="55">
      <c r="B55" s="17" t="inlineStr">
        <is>
          <t>Whh[2]</t>
        </is>
      </c>
      <c r="D55" s="17" t="n">
        <v>-0.2</v>
      </c>
      <c r="E55" s="17" t="n">
        <v>0.1</v>
      </c>
      <c r="F55" s="17" t="n">
        <v>0.3</v>
      </c>
      <c r="H55" s="32" t="n">
        <v>0.0109</v>
      </c>
      <c r="I55" s="32" t="n">
        <v>-0.0003</v>
      </c>
      <c r="J55" s="32" t="n">
        <v>-0.0103</v>
      </c>
      <c r="L55" s="25" t="n">
        <v>-0.201</v>
      </c>
      <c r="M55" s="25" t="n">
        <v>0.1</v>
      </c>
      <c r="N55" s="25" t="n">
        <v>0.301</v>
      </c>
    </row>
    <row r="56"/>
    <row r="57"/>
    <row r="58">
      <c r="B58" s="21" t="inlineStr">
        <is>
          <t>═══ 4. Context Projection (W_c) Gradients ═══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5" t="n"/>
    </row>
    <row r="59"/>
    <row r="60">
      <c r="B60" s="21" t="inlineStr">
        <is>
          <t>W_c Update (context → hidden):</t>
        </is>
      </c>
    </row>
    <row r="61">
      <c r="B61" s="20" t="inlineStr"/>
      <c r="D61" s="21" t="inlineStr">
        <is>
          <t>Original</t>
        </is>
      </c>
      <c r="H61" s="30" t="inlineStr">
        <is>
          <t>Gradient</t>
        </is>
      </c>
      <c r="L61" s="31" t="inlineStr">
        <is>
          <t>Updated</t>
        </is>
      </c>
    </row>
    <row r="62">
      <c r="B62" s="16" t="inlineStr">
        <is>
          <t>W_c[0]</t>
        </is>
      </c>
      <c r="D62" s="16" t="n">
        <v>0.2</v>
      </c>
      <c r="E62" s="16" t="n">
        <v>0.1</v>
      </c>
      <c r="F62" s="16" t="n">
        <v>-0.1</v>
      </c>
      <c r="H62" s="32" t="n">
        <v>0.0431</v>
      </c>
      <c r="I62" s="32" t="n">
        <v>-0.0011</v>
      </c>
      <c r="J62" s="32" t="n">
        <v>-0.0407</v>
      </c>
      <c r="L62" s="25" t="n">
        <v>0.196</v>
      </c>
      <c r="M62" s="25" t="n">
        <v>0.1</v>
      </c>
      <c r="N62" s="25" t="n">
        <v>-0.096</v>
      </c>
    </row>
    <row r="63">
      <c r="B63" s="16" t="inlineStr">
        <is>
          <t>W_c[1]</t>
        </is>
      </c>
      <c r="D63" s="16" t="n">
        <v>-0.1</v>
      </c>
      <c r="E63" s="16" t="n">
        <v>0.3</v>
      </c>
      <c r="F63" s="16" t="n">
        <v>0.1</v>
      </c>
      <c r="H63" s="32" t="n">
        <v>0.0056</v>
      </c>
      <c r="I63" s="32" t="n">
        <v>-0.0001</v>
      </c>
      <c r="J63" s="32" t="n">
        <v>-0.0053</v>
      </c>
      <c r="L63" s="25" t="n">
        <v>-0.101</v>
      </c>
      <c r="M63" s="25" t="n">
        <v>0.3</v>
      </c>
      <c r="N63" s="25" t="n">
        <v>0.101</v>
      </c>
    </row>
    <row r="64">
      <c r="B64" s="16" t="inlineStr">
        <is>
          <t>W_c[2]</t>
        </is>
      </c>
      <c r="D64" s="16" t="n">
        <v>0.1</v>
      </c>
      <c r="E64" s="16" t="n">
        <v>-0.2</v>
      </c>
      <c r="F64" s="16" t="n">
        <v>0.2</v>
      </c>
      <c r="H64" s="32" t="n">
        <v>0.0498</v>
      </c>
      <c r="I64" s="32" t="n">
        <v>-0.0013</v>
      </c>
      <c r="J64" s="32" t="n">
        <v>-0.047</v>
      </c>
      <c r="L64" s="25" t="n">
        <v>0.095</v>
      </c>
      <c r="M64" s="25" t="n">
        <v>-0.2</v>
      </c>
      <c r="N64" s="25" t="n">
        <v>0.205</v>
      </c>
    </row>
    <row r="65"/>
    <row r="66"/>
    <row r="67">
      <c r="B67" s="10" t="inlineStr">
        <is>
          <t>═══ 5. Attention Mechanism Gradients ═══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5" t="n"/>
    </row>
    <row r="68"/>
    <row r="69">
      <c r="B69" s="21" t="inlineStr">
        <is>
          <t>dL/d_context = W_c^T @ dL/dz_s:</t>
        </is>
      </c>
    </row>
    <row r="70">
      <c r="B70" s="16" t="inlineStr">
        <is>
          <t xml:space="preserve">  [0]</t>
        </is>
      </c>
      <c r="D70" s="16">
        <f> 0.0883</f>
        <v/>
      </c>
    </row>
    <row r="71">
      <c r="B71" s="16" t="inlineStr">
        <is>
          <t xml:space="preserve">  [1]</t>
        </is>
      </c>
      <c r="D71" s="16">
        <f> -0.0612</f>
        <v/>
      </c>
    </row>
    <row r="72">
      <c r="B72" s="16" t="inlineStr">
        <is>
          <t xml:space="preserve">  [2]</t>
        </is>
      </c>
      <c r="D72" s="16">
        <f> -0.0254</f>
        <v/>
      </c>
    </row>
    <row r="73"/>
    <row r="74"/>
    <row r="75">
      <c r="B75" s="10" t="inlineStr">
        <is>
          <t>dL/dα (attention weights gradient):</t>
        </is>
      </c>
    </row>
    <row r="76">
      <c r="B76" s="15" t="inlineStr">
        <is>
          <t xml:space="preserve">  dL/dα('I')</t>
        </is>
      </c>
      <c r="F76" s="15">
        <f> 0.0062</f>
        <v/>
      </c>
    </row>
    <row r="77">
      <c r="B77" s="15" t="inlineStr">
        <is>
          <t xml:space="preserve">  dL/dα('love')</t>
        </is>
      </c>
      <c r="F77" s="15">
        <f> 0.0266</f>
        <v/>
      </c>
    </row>
    <row r="78">
      <c r="B78" s="15" t="inlineStr">
        <is>
          <t xml:space="preserve">  dL/dα('you')</t>
        </is>
      </c>
      <c r="F78" s="15">
        <f> -0.0119</f>
        <v/>
      </c>
    </row>
    <row r="79"/>
    <row r="80"/>
    <row r="81">
      <c r="B81" s="10" t="inlineStr">
        <is>
          <t>v_a Update (attention vector):</t>
        </is>
      </c>
    </row>
    <row r="82">
      <c r="B82" s="15" t="inlineStr">
        <is>
          <t>Original:</t>
        </is>
      </c>
      <c r="D82" s="15" t="n">
        <v>0.3</v>
      </c>
      <c r="E82" s="15" t="n">
        <v>-0.2</v>
      </c>
      <c r="F82" s="15" t="n">
        <v>0.4</v>
      </c>
    </row>
    <row r="83">
      <c r="B83" s="32" t="inlineStr">
        <is>
          <t>Gradient:</t>
        </is>
      </c>
      <c r="D83" s="32" t="n">
        <v>-0.0002</v>
      </c>
      <c r="E83" s="32" t="n">
        <v>-0.0002</v>
      </c>
      <c r="F83" s="32" t="n">
        <v>0.0008</v>
      </c>
    </row>
    <row r="84">
      <c r="B84" s="25" t="inlineStr">
        <is>
          <t>Updated:</t>
        </is>
      </c>
      <c r="D84" s="25" t="n">
        <v>0.3</v>
      </c>
      <c r="E84" s="25" t="n">
        <v>-0.2</v>
      </c>
      <c r="F84" s="25" t="n">
        <v>0.4</v>
      </c>
    </row>
    <row r="85"/>
    <row r="86"/>
    <row r="87">
      <c r="B87" s="6" t="inlineStr">
        <is>
          <t>═══ 6. Encoder Gradients (through Attention) ═══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5" t="n"/>
    </row>
    <row r="88"/>
    <row r="89">
      <c r="B89" s="6" t="inlineStr">
        <is>
          <t>dL/dh_i (encoder hidden) = α_i × dL/d_context:</t>
        </is>
      </c>
    </row>
    <row r="90">
      <c r="B90" s="13" t="inlineStr">
        <is>
          <t xml:space="preserve">  dL/dh ('I'):</t>
        </is>
      </c>
      <c r="E90" s="13" t="n">
        <v>0.0292</v>
      </c>
      <c r="F90" s="13" t="n">
        <v>-0.0202</v>
      </c>
      <c r="G90" s="13" t="n">
        <v>-0.008399999999999999</v>
      </c>
    </row>
    <row r="91">
      <c r="B91" s="13" t="inlineStr">
        <is>
          <t xml:space="preserve">  dL/dh ('love'):</t>
        </is>
      </c>
      <c r="E91" s="13" t="n">
        <v>0.0302</v>
      </c>
      <c r="F91" s="13" t="n">
        <v>-0.021</v>
      </c>
      <c r="G91" s="13" t="n">
        <v>-0.008699999999999999</v>
      </c>
    </row>
    <row r="92">
      <c r="B92" s="13" t="inlineStr">
        <is>
          <t xml:space="preserve">  dL/dh ('you'):</t>
        </is>
      </c>
      <c r="E92" s="13" t="n">
        <v>0.0289</v>
      </c>
      <c r="F92" s="13" t="n">
        <v>-0.0201</v>
      </c>
      <c r="G92" s="13" t="n">
        <v>-0.0083</v>
      </c>
    </row>
    <row r="93"/>
    <row r="94"/>
    <row r="95">
      <c r="B95" t="inlineStr">
        <is>
          <t>These gradients are BPTT to each Encoder timestep</t>
        </is>
      </c>
    </row>
    <row r="96"/>
    <row r="97"/>
    <row r="98">
      <c r="B98" s="1" t="inlineStr">
        <is>
          <t>═══ Seq2Seq + Attention Gradient Flow Summary ═══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5" t="n"/>
    </row>
    <row r="99"/>
    <row r="100">
      <c r="B100" t="inlineStr">
        <is>
          <t>1. Calculate Loss (Cross-Entropy at each Decoder timestep)</t>
        </is>
      </c>
    </row>
    <row r="101">
      <c r="B101" t="inlineStr">
        <is>
          <t>2. Calculate Decoder Output Layer (dec_Why, dec_by) gradient</t>
        </is>
      </c>
    </row>
    <row r="102">
      <c r="B102" t="inlineStr">
        <is>
          <t>3. Backpropagate gradient to Decoder Hidden State (s_t)</t>
        </is>
      </c>
    </row>
    <row r="103">
      <c r="B103" t="inlineStr">
        <is>
          <t>4. Calculate Decoder RNN (dec_Wxh, dec_Whh, dec_bh) gradient</t>
        </is>
      </c>
    </row>
    <row r="104">
      <c r="B104" t="inlineStr">
        <is>
          <t>5. Backpropagate gradient to Context Vector (c_t)</t>
        </is>
      </c>
    </row>
    <row r="105">
      <c r="B105" t="inlineStr">
        <is>
          <t>6. Calculate Context Projection (W_c) gradient</t>
        </is>
      </c>
    </row>
    <row r="106">
      <c r="B106" t="inlineStr">
        <is>
          <t>7. Backpropagate gradient to Attention Weights (α)</t>
        </is>
      </c>
    </row>
    <row r="107">
      <c r="B107" t="inlineStr">
        <is>
          <t>8. Calculate Attention Parameters (W_a, U_a, v_a) gradient</t>
        </is>
      </c>
    </row>
    <row r="108">
      <c r="B108" t="inlineStr">
        <is>
          <t>9. Backpropagate gradient to Encoder Hidden States (h_i)</t>
        </is>
      </c>
    </row>
    <row r="109">
      <c r="B109" t="inlineStr">
        <is>
          <t>10. BPTT to Encoder RNN</t>
        </is>
      </c>
    </row>
    <row r="110"/>
    <row r="111">
      <c r="B111" t="inlineStr">
        <is>
          <t>※ Attention gradient propagates to all encoder positions</t>
        </is>
      </c>
    </row>
    <row r="112">
      <c r="B112" t="inlineStr">
        <is>
          <t>※ This is Attention's advantage: More direct gradient flow!</t>
        </is>
      </c>
    </row>
  </sheetData>
  <mergeCells count="8">
    <mergeCell ref="B27:AE27"/>
    <mergeCell ref="B41:AE41"/>
    <mergeCell ref="B58:AE58"/>
    <mergeCell ref="B6:AE6"/>
    <mergeCell ref="B2:AH2"/>
    <mergeCell ref="B87:AE87"/>
    <mergeCell ref="B98:AE98"/>
    <mergeCell ref="B67:AE6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/>
    <row r="2">
      <c r="B2" s="1" t="inlineStr">
        <is>
          <t>Answer Key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5" t="n"/>
    </row>
    <row r="3"/>
    <row r="4">
      <c r="B4" s="6" t="inlineStr">
        <is>
          <t>Encoder Hidden States:</t>
        </is>
      </c>
    </row>
    <row r="5">
      <c r="B5" s="13" t="inlineStr">
        <is>
          <t>h_1 ('I'):</t>
        </is>
      </c>
      <c r="F5" t="inlineStr">
        <is>
          <t>[0.0898, -0.0699, 0.2355]</t>
        </is>
      </c>
    </row>
    <row r="6">
      <c r="B6" s="13" t="inlineStr">
        <is>
          <t>h_2 ('love'):</t>
        </is>
      </c>
      <c r="F6" t="inlineStr">
        <is>
          <t>[0.3429, -0.0528, 0.273]</t>
        </is>
      </c>
    </row>
    <row r="7">
      <c r="B7" s="13" t="inlineStr">
        <is>
          <t>h_3 ('you'):</t>
        </is>
      </c>
      <c r="F7" t="inlineStr">
        <is>
          <t>[-0.014, 0.1824, -0.0206]</t>
        </is>
      </c>
    </row>
    <row r="8"/>
    <row r="9">
      <c r="B9" s="10" t="inlineStr">
        <is>
          <t>Attention Weights per Decoder Step:</t>
        </is>
      </c>
    </row>
    <row r="10">
      <c r="B10" s="17" t="inlineStr">
        <is>
          <t>t=0 ('&lt;SOS&gt;'):</t>
        </is>
      </c>
      <c r="F10" t="inlineStr">
        <is>
          <t>'I':33.0%, 'love':34.2%, 'you':32.8%</t>
        </is>
      </c>
    </row>
    <row r="11">
      <c r="B11" s="17" t="inlineStr">
        <is>
          <t>t=1 ('I'):</t>
        </is>
      </c>
      <c r="F11" t="inlineStr">
        <is>
          <t>'I':33.0%, 'love':34.2%, 'you':32.8%</t>
        </is>
      </c>
    </row>
    <row r="12">
      <c r="B12" s="17" t="inlineStr">
        <is>
          <t>t=2 ('you'):</t>
        </is>
      </c>
      <c r="F12" t="inlineStr">
        <is>
          <t>'I':33.0%, 'love':34.2%, 'you':32.8%</t>
        </is>
      </c>
    </row>
    <row r="13">
      <c r="B13" s="17" t="inlineStr">
        <is>
          <t>t=3 ('love'):</t>
        </is>
      </c>
      <c r="F13" t="inlineStr">
        <is>
          <t>'I':33.0%, 'love':34.2%, 'you':32.8%</t>
        </is>
      </c>
    </row>
    <row r="14"/>
    <row r="15">
      <c r="B15" s="21" t="inlineStr">
        <is>
          <t>Context Vectors:</t>
        </is>
      </c>
    </row>
    <row r="16">
      <c r="B16" s="16" t="inlineStr">
        <is>
          <t>c_0:</t>
        </is>
      </c>
      <c r="D16" t="inlineStr">
        <is>
          <t>[0.1425, 0.0186, 0.1645]</t>
        </is>
      </c>
    </row>
    <row r="17">
      <c r="B17" s="16" t="inlineStr">
        <is>
          <t>c_1:</t>
        </is>
      </c>
      <c r="D17" t="inlineStr">
        <is>
          <t>[0.1425, 0.0186, 0.1645]</t>
        </is>
      </c>
    </row>
    <row r="18">
      <c r="B18" s="16" t="inlineStr">
        <is>
          <t>c_2:</t>
        </is>
      </c>
      <c r="D18" t="inlineStr">
        <is>
          <t>[0.1425, 0.0186, 0.1645]</t>
        </is>
      </c>
    </row>
    <row r="19">
      <c r="B19" s="16" t="inlineStr">
        <is>
          <t>c_3:</t>
        </is>
      </c>
      <c r="D19" t="inlineStr">
        <is>
          <t>[0.1425, 0.0186, 0.1645]</t>
        </is>
      </c>
    </row>
    <row r="20"/>
    <row r="21">
      <c r="B21" s="7" t="inlineStr">
        <is>
          <t>Decoder Hidden States:</t>
        </is>
      </c>
    </row>
    <row r="22">
      <c r="B22" s="17" t="inlineStr">
        <is>
          <t>s_1:</t>
        </is>
      </c>
      <c r="D22" t="inlineStr">
        <is>
          <t>[0.1108, 0.1516, 0.0632]</t>
        </is>
      </c>
    </row>
    <row r="23">
      <c r="B23" s="17" t="inlineStr">
        <is>
          <t>s_2:</t>
        </is>
      </c>
      <c r="D23" t="inlineStr">
        <is>
          <t>[0.2249, -0.0075, 0.2322]</t>
        </is>
      </c>
    </row>
    <row r="24">
      <c r="B24" s="17" t="inlineStr">
        <is>
          <t>s_3:</t>
        </is>
      </c>
      <c r="D24" t="inlineStr">
        <is>
          <t>[0.0533, 0.3506, 0.0359]</t>
        </is>
      </c>
    </row>
    <row r="25">
      <c r="B25" s="17" t="inlineStr">
        <is>
          <t>s_4:</t>
        </is>
      </c>
      <c r="D25" t="inlineStr">
        <is>
          <t>[0.3687, -0.0845, 0.0069]</t>
        </is>
      </c>
    </row>
    <row r="26"/>
    <row r="27">
      <c r="B27" s="24" t="inlineStr">
        <is>
          <t>Predictions:</t>
        </is>
      </c>
    </row>
    <row r="28">
      <c r="B28" t="inlineStr">
        <is>
          <t>t=0: pred='&lt;PAD&gt;' target='I' ✗</t>
        </is>
      </c>
    </row>
    <row r="29">
      <c r="B29" t="inlineStr">
        <is>
          <t>t=1: pred='&lt;PAD&gt;' target='you' ✗</t>
        </is>
      </c>
    </row>
    <row r="30">
      <c r="B30" t="inlineStr">
        <is>
          <t>t=2: pred='&lt;SOS&gt;' target='love' ✗</t>
        </is>
      </c>
    </row>
    <row r="31">
      <c r="B31" t="inlineStr">
        <is>
          <t>t=3: pred='&lt;PAD&gt;' target='&lt;EOS&gt;' ✗</t>
        </is>
      </c>
    </row>
  </sheetData>
  <mergeCells count="1">
    <mergeCell ref="B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2026-01-20T06:54:02Z</dcterms:created>
  <dcterms:modified xmlns:dcterms="http://purl.org/dc/terms/" xmlns:xsi="http://www.w3.org/2001/XMLSchema-instance" xsi:type="dcterms:W3CDTF">2026-01-20T08:29:03Z</dcterms:modified>
</cp:coreProperties>
</file>