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ihwankim/Downloads/Excel-worksheets 2/"/>
    </mc:Choice>
  </mc:AlternateContent>
  <xr:revisionPtr revIDLastSave="0" documentId="8_{9A19B69A-AEDF-AA4F-8883-CB0939CC53F5}" xr6:coauthVersionLast="47" xr6:coauthVersionMax="47" xr10:uidLastSave="{00000000-0000-0000-0000-000000000000}"/>
  <bookViews>
    <workbookView xWindow="4300" yWindow="680" windowWidth="29900" windowHeight="19580" activeTab="2" xr2:uid="{00000000-000D-0000-FFFF-FFFF00000000}"/>
  </bookViews>
  <sheets>
    <sheet name="Instructions" sheetId="1" r:id="rId1"/>
    <sheet name="Forward_Propagation" sheetId="2" r:id="rId2"/>
    <sheet name="Backward_Propagation" sheetId="3" r:id="rId3"/>
    <sheet name="Answer_Key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4" i="2"/>
</calcChain>
</file>

<file path=xl/sharedStrings.xml><?xml version="1.0" encoding="utf-8"?>
<sst xmlns="http://schemas.openxmlformats.org/spreadsheetml/2006/main" count="303" uniqueCount="209">
  <si>
    <t>[Description] This worksheet demonstrates binary classification using logistic regression with sigmoid activation.</t>
  </si>
  <si>
    <t>Logistic Regression Binary Classification Practice Worksheet</t>
  </si>
  <si>
    <t>[Learning Objectives]</t>
  </si>
  <si>
    <t>1. Understand binary classification problem using Logistic Regression</t>
  </si>
  <si>
    <t>2. Role and calculation of Sigmoid activation function</t>
  </si>
  <si>
    <t>3. Understand Binary Cross-Entropy (BCE) loss function</t>
  </si>
  <si>
    <t>4. Derive simplified gradient of BCE + Sigmoid</t>
  </si>
  <si>
    <t>5. Update weights through backpropagation</t>
  </si>
  <si>
    <t>[Network Structure]</t>
  </si>
  <si>
    <t>• Input matrix X: 10 samples × 8 features (10×8 matrix)</t>
  </si>
  <si>
    <t>• Weight matrix W: 8 features × 1 output (8×1 vector)</t>
  </si>
  <si>
    <t>• Bias b: Scalar</t>
  </si>
  <si>
    <t>• Linear combination Z: Z = X · W + b</t>
  </si>
  <si>
    <t>• Activation function: Sigmoid → Y_pred = σ(Z) = 1/(1+e^(-Z))</t>
  </si>
  <si>
    <t>• Output Y_pred: 10 × 1 (probability values between 0~1)</t>
  </si>
  <si>
    <t>• Ground truth Y_true: 10 × 1 (0 or 1 - binary label)</t>
  </si>
  <si>
    <t>• Loss function: Binary Cross-Entropy (BCE)</t>
  </si>
  <si>
    <t>[Mathematical Expression]</t>
  </si>
  <si>
    <t>Forward:</t>
  </si>
  <si>
    <t xml:space="preserve">   Z = X · W + b                                    (Linear combination)</t>
  </si>
  <si>
    <t xml:space="preserve">   Y_pred = σ(Z) = 1 / (1 + e^(-Z))                 (Sigmoid activation)</t>
  </si>
  <si>
    <t>Loss (BCE):</t>
  </si>
  <si>
    <t xml:space="preserve">   L = -(1/n) × Σ[y_true × log(y_pred) + (1-y_true) × log(1-y_pred)]</t>
  </si>
  <si>
    <t>Gradient (BCE + Sigmoid simplified):</t>
  </si>
  <si>
    <t xml:space="preserve">   ∂L/∂Z = (1/n) × (Y_pred - Y_true)                ★ Key formula!</t>
  </si>
  <si>
    <t xml:space="preserve">   ∂L/∂W = X^T · ∂L/∂Z</t>
  </si>
  <si>
    <t xml:space="preserve">   ∂L/∂b = Σ(∂L/∂Z)</t>
  </si>
  <si>
    <t>Update:</t>
  </si>
  <si>
    <t xml:space="preserve">   W_new = W - lr × ∂L/∂W</t>
  </si>
  <si>
    <t xml:space="preserve">   b_new = b - lr × ∂L/∂b</t>
  </si>
  <si>
    <t>[Sigmoid Function]</t>
  </si>
  <si>
    <t>• Output range: 0 &lt; σ(z) &lt; 1 (interpretable as probability)</t>
  </si>
  <si>
    <t>• When z = 0: σ(0) = 0.5</t>
  </si>
  <si>
    <t>• When z &gt; 0: σ(z) &gt; 0.5 (classified as positive class)</t>
  </si>
  <si>
    <t>• When z &lt; 0: σ(z) &lt; 0.5 (classified as negative class)</t>
  </si>
  <si>
    <t>• Derivative: σ'(z) = σ(z) × (1 - σ(z))</t>
  </si>
  <si>
    <t>[Color Legend]</t>
  </si>
  <si>
    <t xml:space="preserve">  ■ Input matrix (X)</t>
  </si>
  <si>
    <t xml:space="preserve">  ■ Weight (W)</t>
  </si>
  <si>
    <t xml:space="preserve">  ■ Linear combination (Z)</t>
  </si>
  <si>
    <t xml:space="preserve">  ■ Sigmoid output (Y_pred)</t>
  </si>
  <si>
    <t xml:space="preserve">  ■ Output/Result</t>
  </si>
  <si>
    <t xml:space="preserve">  ■ Gradient</t>
  </si>
  <si>
    <t xml:space="preserve">  ■ Student input cell</t>
  </si>
  <si>
    <t xml:space="preserve">  ■ Answer</t>
  </si>
  <si>
    <t xml:space="preserve">  ■ Wrong</t>
  </si>
  <si>
    <t>[How to Use]</t>
  </si>
  <si>
    <t>1. Enter calculation results in yellow cells in Forward_Propagation sheet</t>
  </si>
  <si>
    <t>2. Check ✓(correct) or ✗(wrong) in verification cells</t>
  </si>
  <si>
    <t>3. Tolerance: 0.0001 (up to 4 decimal places)</t>
  </si>
  <si>
    <t>4. Hint: When calculating Sigmoid, first compute e^(-z), then 1/(1+e^(-z))</t>
  </si>
  <si>
    <t>[Description] Forward pass: Compute z = Wx + b, then apply sigmoid to get probability. Uses BCE loss for classification.</t>
  </si>
  <si>
    <t>Forward Propagation - Logistic Regression</t>
  </si>
  <si>
    <t>Progress:</t>
  </si>
  <si>
    <t>Sample</t>
  </si>
  <si>
    <t>x1</t>
  </si>
  <si>
    <t>x2</t>
  </si>
  <si>
    <t>x3</t>
  </si>
  <si>
    <t>x4</t>
  </si>
  <si>
    <t>x5</t>
  </si>
  <si>
    <t>x6</t>
  </si>
  <si>
    <t>x7</t>
  </si>
  <si>
    <t>x8</t>
  </si>
  <si>
    <t>(0 or 1)</t>
  </si>
  <si>
    <t>s1</t>
  </si>
  <si>
    <t>w1</t>
  </si>
  <si>
    <t>y1</t>
  </si>
  <si>
    <t>s2</t>
  </si>
  <si>
    <t>w2</t>
  </si>
  <si>
    <t>y2</t>
  </si>
  <si>
    <t>s3</t>
  </si>
  <si>
    <t>w3</t>
  </si>
  <si>
    <t>y3</t>
  </si>
  <si>
    <t>s4</t>
  </si>
  <si>
    <t>w4</t>
  </si>
  <si>
    <t>y4</t>
  </si>
  <si>
    <t>s5</t>
  </si>
  <si>
    <t>w5</t>
  </si>
  <si>
    <t>y5</t>
  </si>
  <si>
    <t>s6</t>
  </si>
  <si>
    <t>w6</t>
  </si>
  <si>
    <t>y6</t>
  </si>
  <si>
    <t>s7</t>
  </si>
  <si>
    <t>w7</t>
  </si>
  <si>
    <t>y7</t>
  </si>
  <si>
    <t>s8</t>
  </si>
  <si>
    <t>w8</t>
  </si>
  <si>
    <t>y8</t>
  </si>
  <si>
    <t>s9</t>
  </si>
  <si>
    <t>y9</t>
  </si>
  <si>
    <t>s10</t>
  </si>
  <si>
    <t>b</t>
  </si>
  <si>
    <t>y10</t>
  </si>
  <si>
    <t>Formula: z_i = Σ(x_ij × w_j) + b</t>
  </si>
  <si>
    <t>Calculation formula</t>
  </si>
  <si>
    <t>z_i</t>
  </si>
  <si>
    <t>Student input</t>
  </si>
  <si>
    <t>1.0×0.30 + 2.0×0.40 + 0.0×-0.20 + ... + (-0.5)</t>
  </si>
  <si>
    <t>0.5×0.30 + 1.0×0.40 + 1.0×-0.20 + ... + (-0.5)</t>
  </si>
  <si>
    <t>2.0×0.30 + 0.0×0.40 + -1.0×-0.20 + ... + (-0.5)</t>
  </si>
  <si>
    <t>0.0×0.30 + 1.5×0.40 + 0.5×-0.20 + ... + (-0.5)</t>
  </si>
  <si>
    <t>1.0×0.30 + -1.0×0.40 + 2.0×-0.20 + ... + (-0.5)</t>
  </si>
  <si>
    <t>-0.5×0.30 + 1.0×0.40 + 0.0×-0.20 + ... + (-0.5)</t>
  </si>
  <si>
    <t>1.5×0.30 + 0.5×0.40 + 1.0×-0.20 + ... + (-0.5)</t>
  </si>
  <si>
    <t>0.0×0.30 + 2.0×0.40 + -0.5×-0.20 + ... + (-0.5)</t>
  </si>
  <si>
    <t>1.0×0.30 + 0.0×0.40 + 1.0×-0.20 + ... + (-0.5)</t>
  </si>
  <si>
    <t>0.5×0.30 + 0.5×0.40 + 0.5×-0.20 + ... + (-0.5)</t>
  </si>
  <si>
    <t>Hint: First calculate e^(-z), then calculate 1/(1+e^(-z))</t>
  </si>
  <si>
    <t>e^(-z)</t>
  </si>
  <si>
    <t>σ(z) = y_pred</t>
  </si>
  <si>
    <t>Rule: y_pred ≥ 0.5 → Class 1, y_pred &lt; 0.5 → Class 0</t>
  </si>
  <si>
    <t>y_pred</t>
  </si>
  <si>
    <t>y_true</t>
  </si>
  <si>
    <t>Predicted class</t>
  </si>
  <si>
    <t>Correctness</t>
  </si>
  <si>
    <t>✓ Correct</t>
  </si>
  <si>
    <t>✗ Wrong</t>
  </si>
  <si>
    <t>Accuracy: 8/10 = 80%</t>
  </si>
  <si>
    <t>Formula: L_i = -[y × log(ŷ) + (1-y) × log(1-ŷ)]</t>
  </si>
  <si>
    <t>BCE_i</t>
  </si>
  <si>
    <t>Σ(BCE_i) =</t>
  </si>
  <si>
    <t>n (sample count) =</t>
  </si>
  <si>
    <t>Loss = Σ/n =</t>
  </si>
  <si>
    <t>Final BCE Loss: 0.520038</t>
  </si>
  <si>
    <t>[Description] Backward pass: Gradient of BCE + Sigmoid simplifies to (y_pred - y_true). Update weights accordingly.</t>
  </si>
  <si>
    <t>Backward Propagation - Logistic Regression</t>
  </si>
  <si>
    <t>★ Key: BCE + Sigmoid gradient = (y_pred - y_true) / n</t>
  </si>
  <si>
    <t>Learning rate (lr):</t>
  </si>
  <si>
    <t>Formula: ∂L/∂z_i = (1/n) × (y_pred_i - y_true_i)</t>
  </si>
  <si>
    <t>※ BCE + Sigmoid combination gradient simplifies nicely!</t>
  </si>
  <si>
    <t>y_pred - y_true</t>
  </si>
  <si>
    <t>∂L/∂z</t>
  </si>
  <si>
    <t>0.5250 - 1 = -0.4750</t>
  </si>
  <si>
    <t>0.3208 - 0 = 0.3208</t>
  </si>
  <si>
    <t>0.7773 - 1 = -0.2227</t>
  </si>
  <si>
    <t>0.5312 - 1 = -0.4688</t>
  </si>
  <si>
    <t>0.2451 - 0 = 0.2451</t>
  </si>
  <si>
    <t>0.5866 - 1 = -0.4134</t>
  </si>
  <si>
    <t>0.5374 - 1 = -0.4626</t>
  </si>
  <si>
    <t>0.5125 - 0 = 0.5125</t>
  </si>
  <si>
    <t>0.6457 - 1 = -0.3543</t>
  </si>
  <si>
    <t>0.5000 - 0 = 0.5000</t>
  </si>
  <si>
    <t>Formula: ∂L/∂W = X^T · ∂L/∂Z</t>
  </si>
  <si>
    <t>Each weight: ∂L/∂w_j = Σ_i (x_ij × ∂L/∂z_i)</t>
  </si>
  <si>
    <t>Weight</t>
  </si>
  <si>
    <t>Calculation (column j of X · ∂L/∂Z)</t>
  </si>
  <si>
    <t>∂L/∂w</t>
  </si>
  <si>
    <t>∂L/∂w1</t>
  </si>
  <si>
    <t>1.0×-0.0475 + 0.5×0.0321 + ...</t>
  </si>
  <si>
    <t>∂L/∂w2</t>
  </si>
  <si>
    <t>2.0×-0.0475 + 1.0×0.0321 + ...</t>
  </si>
  <si>
    <t>∂L/∂w3</t>
  </si>
  <si>
    <t>0.0×-0.0475 + 1.0×0.0321 + ...</t>
  </si>
  <si>
    <t>∂L/∂w4</t>
  </si>
  <si>
    <t>-1.0×-0.0475 + 0.0×0.0321 + ...</t>
  </si>
  <si>
    <t>∂L/∂w5</t>
  </si>
  <si>
    <t>∂L/∂w6</t>
  </si>
  <si>
    <t>0.0×-0.0475 + -1.0×0.0321 + ...</t>
  </si>
  <si>
    <t>∂L/∂w7</t>
  </si>
  <si>
    <t>0.5×-0.0475 + 0.0×0.0321 + ...</t>
  </si>
  <si>
    <t>∂L/∂w8</t>
  </si>
  <si>
    <t>-0.5×-0.0475 + 1.0×0.0321 + ...</t>
  </si>
  <si>
    <t>∂L/∂b</t>
  </si>
  <si>
    <t>Σ(∂L/∂z_i)</t>
  </si>
  <si>
    <t>Formula: w_new = w_old - lr × ∂L/∂w (lr = 0.1)</t>
  </si>
  <si>
    <t>Existing value</t>
  </si>
  <si>
    <t>Gradient</t>
  </si>
  <si>
    <t>New value</t>
  </si>
  <si>
    <t>BCE Loss before update:</t>
  </si>
  <si>
    <t>BCE Loss after update:</t>
  </si>
  <si>
    <t>Loss reduction:</t>
  </si>
  <si>
    <t>[Description] Reference solutions for self-checking your calculations.</t>
  </si>
  <si>
    <t>Answer Key - Logistic Regression</t>
  </si>
  <si>
    <t>y_pred_i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</si>
  <si>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</si>
  <si>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</si>
  <si>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</si>
  <si>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</si>
  <si>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</si>
  <si>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</si>
  <si>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</si>
  <si>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</si>
  <si>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</si>
  <si>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</si>
  <si>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Σ(BCE_i)</t>
  </si>
  <si>
    <t>Loss (Average BCE)</t>
  </si>
  <si>
    <t>n (sample count)</t>
  </si>
  <si>
    <t>∂L/∂Z:</t>
  </si>
  <si>
    <t>∂L/∂z_1</t>
  </si>
  <si>
    <t>∂L/∂z_2</t>
  </si>
  <si>
    <t>∂L/∂z_3</t>
  </si>
  <si>
    <t>∂L/∂z_4</t>
  </si>
  <si>
    <t>∂L/∂z_5</t>
  </si>
  <si>
    <t>∂L/∂z_6</t>
  </si>
  <si>
    <t>∂L/∂z_7</t>
  </si>
  <si>
    <t>∂L/∂z_8</t>
  </si>
  <si>
    <t>∂L/∂z_9</t>
  </si>
  <si>
    <t>∂L/∂z_10</t>
  </si>
  <si>
    <t>∂L/∂W:</t>
  </si>
  <si>
    <t>w1_new</t>
  </si>
  <si>
    <t>w2_new</t>
  </si>
  <si>
    <t>w3_new</t>
  </si>
  <si>
    <t>w4_new</t>
  </si>
  <si>
    <t>w5_new</t>
  </si>
  <si>
    <t>w6_new</t>
  </si>
  <si>
    <t>w7_new</t>
  </si>
  <si>
    <t>w8_new</t>
  </si>
  <si>
    <t>b_new</t>
  </si>
  <si>
    <t>Loss after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</si>
</sst>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6"/>
      <name val="맑은 고딕"/>
      <family val="2"/>
      <charset val="129"/>
    </font>
    <font>
      <sz val="11"/>
      <name val="맑은 고딕"/>
      <family val="2"/>
      <charset val="129"/>
    </font>
    <font>
      <b/>
      <sz val="13"/>
      <name val="맑은 고딕"/>
      <family val="2"/>
      <charset val="129"/>
    </font>
    <font>
      <sz val="11"/>
      <name val="Cambria Math"/>
      <family val="1"/>
    </font>
    <font>
      <b/>
      <sz val="11"/>
      <name val="Calibri"/>
      <family val="2"/>
    </font>
    <font>
      <sz val="10"/>
      <name val="Consolas"/>
      <family val="2"/>
    </font>
    <font>
      <i/>
      <sz val="9"/>
      <name val="Calibri"/>
      <family val="2"/>
    </font>
    <font>
      <b/>
      <sz val="12"/>
      <name val="Calibri"/>
      <family val="2"/>
    </font>
    <font>
      <b/>
      <sz val="11"/>
      <color rgb="FFFFFFFF"/>
      <name val="맑은 고딕"/>
      <family val="2"/>
      <charset val="129"/>
    </font>
    <font>
      <i/>
      <sz val="11"/>
      <name val="Calibri"/>
      <family val="2"/>
    </font>
    <font>
      <b/>
      <sz val="11"/>
      <color rgb="FFFF0000"/>
      <name val="Calibri"/>
      <family val="2"/>
    </font>
    <font>
      <i/>
      <sz val="11"/>
      <color rgb="FF0000FF"/>
      <name val="Calibri"/>
      <family val="2"/>
    </font>
    <font>
      <i/>
      <sz val="10"/>
      <color rgb="FF505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0F8FF"/>
        <bgColor rgb="FFF0F8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5" fillId="0" borderId="0" xfId="0" applyFont="1"/>
    <xf numFmtId="0" fontId="5" fillId="2" borderId="0" xfId="0" applyFont="1" applyFill="1" applyAlignment="1">
      <alignment horizontal="center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11" borderId="0" xfId="0" applyFont="1" applyFill="1"/>
    <xf numFmtId="0" fontId="9" fillId="12" borderId="0" xfId="0" applyFont="1" applyFill="1"/>
    <xf numFmtId="0" fontId="0" fillId="11" borderId="0" xfId="0" applyFill="1"/>
    <xf numFmtId="0" fontId="0" fillId="4" borderId="0" xfId="0" applyFill="1"/>
    <xf numFmtId="0" fontId="0" fillId="8" borderId="2" xfId="0" applyFill="1" applyBorder="1"/>
    <xf numFmtId="0" fontId="10" fillId="0" borderId="0" xfId="0" applyFont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7" borderId="0" xfId="0" applyFill="1"/>
    <xf numFmtId="0" fontId="0" fillId="6" borderId="0" xfId="0" applyFill="1"/>
    <xf numFmtId="0" fontId="11" fillId="0" borderId="0" xfId="0" applyFont="1"/>
    <xf numFmtId="0" fontId="0" fillId="3" borderId="0" xfId="0" applyFill="1"/>
    <xf numFmtId="0" fontId="12" fillId="0" borderId="0" xfId="0" applyFont="1"/>
    <xf numFmtId="0" fontId="5" fillId="9" borderId="0" xfId="0" applyFont="1" applyFill="1"/>
    <xf numFmtId="0" fontId="13" fillId="13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10"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FFB6C1"/>
          <bgColor rgb="FFFFB6C1"/>
        </patternFill>
      </fill>
    </dxf>
    <dxf>
      <fill>
        <patternFill patternType="solid">
          <fgColor rgb="FF90EE90"/>
          <bgColor rgb="FF90EE9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workbookViewId="0">
      <selection sqref="A1:E1"/>
    </sheetView>
  </sheetViews>
  <sheetFormatPr baseColWidth="10" defaultColWidth="8.83203125" defaultRowHeight="15"/>
  <cols>
    <col min="1" max="1" width="90" customWidth="1"/>
    <col min="2" max="2" width="5" customWidth="1"/>
  </cols>
  <sheetData>
    <row r="1" spans="1:5">
      <c r="A1" s="37" t="s">
        <v>0</v>
      </c>
      <c r="B1" s="38"/>
      <c r="C1" s="38"/>
      <c r="D1" s="38"/>
      <c r="E1" s="38"/>
    </row>
    <row r="2" spans="1:5" ht="23">
      <c r="A2" s="1" t="s">
        <v>1</v>
      </c>
    </row>
    <row r="4" spans="1:5" ht="17">
      <c r="A4" s="2"/>
    </row>
    <row r="6" spans="1:5" ht="19">
      <c r="A6" s="3" t="s">
        <v>2</v>
      </c>
    </row>
    <row r="7" spans="1:5" ht="17">
      <c r="A7" s="2" t="s">
        <v>3</v>
      </c>
    </row>
    <row r="8" spans="1:5" ht="17">
      <c r="A8" s="2" t="s">
        <v>4</v>
      </c>
    </row>
    <row r="9" spans="1:5" ht="17">
      <c r="A9" s="2" t="s">
        <v>5</v>
      </c>
    </row>
    <row r="10" spans="1:5" ht="17">
      <c r="A10" s="2" t="s">
        <v>6</v>
      </c>
    </row>
    <row r="11" spans="1:5" ht="17">
      <c r="A11" s="2" t="s">
        <v>7</v>
      </c>
    </row>
    <row r="13" spans="1:5" ht="19">
      <c r="A13" s="3" t="s">
        <v>8</v>
      </c>
    </row>
    <row r="14" spans="1:5" ht="17">
      <c r="A14" s="2" t="s">
        <v>9</v>
      </c>
    </row>
    <row r="15" spans="1:5" ht="17">
      <c r="A15" s="2" t="s">
        <v>10</v>
      </c>
    </row>
    <row r="16" spans="1:5" ht="17">
      <c r="A16" s="2" t="s">
        <v>11</v>
      </c>
    </row>
    <row r="17" spans="1:1" ht="17">
      <c r="A17" s="2" t="s">
        <v>12</v>
      </c>
    </row>
    <row r="18" spans="1:1" ht="17">
      <c r="A18" s="2" t="s">
        <v>13</v>
      </c>
    </row>
    <row r="19" spans="1:1" ht="17">
      <c r="A19" s="2" t="s">
        <v>14</v>
      </c>
    </row>
    <row r="20" spans="1:1" ht="17">
      <c r="A20" s="2" t="s">
        <v>15</v>
      </c>
    </row>
    <row r="21" spans="1:1" ht="17">
      <c r="A21" s="2" t="s">
        <v>16</v>
      </c>
    </row>
    <row r="23" spans="1:1" ht="19">
      <c r="A23" s="3" t="s">
        <v>17</v>
      </c>
    </row>
    <row r="24" spans="1:1">
      <c r="A24" s="4" t="s">
        <v>18</v>
      </c>
    </row>
    <row r="25" spans="1:1">
      <c r="A25" s="4" t="s">
        <v>19</v>
      </c>
    </row>
    <row r="26" spans="1:1">
      <c r="A26" s="4" t="s">
        <v>20</v>
      </c>
    </row>
    <row r="27" spans="1:1">
      <c r="A27" s="4"/>
    </row>
    <row r="28" spans="1:1">
      <c r="A28" s="4" t="s">
        <v>21</v>
      </c>
    </row>
    <row r="29" spans="1:1">
      <c r="A29" s="4" t="s">
        <v>22</v>
      </c>
    </row>
    <row r="30" spans="1:1">
      <c r="A30" s="4"/>
    </row>
    <row r="31" spans="1:1">
      <c r="A31" s="4" t="s">
        <v>23</v>
      </c>
    </row>
    <row r="32" spans="1:1">
      <c r="A32" s="4" t="s">
        <v>24</v>
      </c>
    </row>
    <row r="33" spans="1:2">
      <c r="A33" s="4" t="s">
        <v>25</v>
      </c>
    </row>
    <row r="34" spans="1:2">
      <c r="A34" s="4" t="s">
        <v>26</v>
      </c>
    </row>
    <row r="35" spans="1:2">
      <c r="A35" s="4"/>
    </row>
    <row r="36" spans="1:2">
      <c r="A36" s="4" t="s">
        <v>27</v>
      </c>
    </row>
    <row r="37" spans="1:2">
      <c r="A37" s="4" t="s">
        <v>28</v>
      </c>
    </row>
    <row r="38" spans="1:2">
      <c r="A38" s="4" t="s">
        <v>29</v>
      </c>
    </row>
    <row r="40" spans="1:2" ht="19">
      <c r="A40" s="3" t="s">
        <v>30</v>
      </c>
    </row>
    <row r="41" spans="1:2" ht="17">
      <c r="A41" s="2" t="s">
        <v>31</v>
      </c>
    </row>
    <row r="42" spans="1:2" ht="17">
      <c r="A42" s="2" t="s">
        <v>32</v>
      </c>
    </row>
    <row r="43" spans="1:2" ht="17">
      <c r="A43" s="2" t="s">
        <v>33</v>
      </c>
    </row>
    <row r="44" spans="1:2" ht="17">
      <c r="A44" s="2" t="s">
        <v>34</v>
      </c>
    </row>
    <row r="45" spans="1:2" ht="17">
      <c r="A45" s="2" t="s">
        <v>35</v>
      </c>
    </row>
    <row r="47" spans="1:2" ht="19">
      <c r="A47" s="3" t="s">
        <v>36</v>
      </c>
    </row>
    <row r="48" spans="1:2" ht="17">
      <c r="A48" s="2" t="s">
        <v>37</v>
      </c>
      <c r="B48" s="5"/>
    </row>
    <row r="49" spans="1:2" ht="17">
      <c r="A49" s="2" t="s">
        <v>38</v>
      </c>
      <c r="B49" s="6"/>
    </row>
    <row r="50" spans="1:2" ht="17">
      <c r="A50" s="2" t="s">
        <v>39</v>
      </c>
      <c r="B50" s="7"/>
    </row>
    <row r="51" spans="1:2" ht="17">
      <c r="A51" s="2" t="s">
        <v>40</v>
      </c>
      <c r="B51" s="8"/>
    </row>
    <row r="52" spans="1:2" ht="17">
      <c r="A52" s="2" t="s">
        <v>41</v>
      </c>
      <c r="B52" s="9"/>
    </row>
    <row r="53" spans="1:2" ht="17">
      <c r="A53" s="2" t="s">
        <v>42</v>
      </c>
      <c r="B53" s="10"/>
    </row>
    <row r="54" spans="1:2" ht="17">
      <c r="A54" s="2" t="s">
        <v>43</v>
      </c>
      <c r="B54" s="11"/>
    </row>
    <row r="55" spans="1:2" ht="17">
      <c r="A55" s="2" t="s">
        <v>44</v>
      </c>
      <c r="B55" s="12"/>
    </row>
    <row r="56" spans="1:2" ht="17">
      <c r="A56" s="2" t="s">
        <v>45</v>
      </c>
      <c r="B56" s="13"/>
    </row>
    <row r="58" spans="1:2" ht="19">
      <c r="A58" s="3" t="s">
        <v>46</v>
      </c>
    </row>
    <row r="59" spans="1:2" ht="17">
      <c r="A59" s="2" t="s">
        <v>47</v>
      </c>
    </row>
    <row r="60" spans="1:2" ht="17">
      <c r="A60" s="2" t="s">
        <v>48</v>
      </c>
    </row>
    <row r="61" spans="1:2" ht="17">
      <c r="A61" s="2" t="s">
        <v>49</v>
      </c>
    </row>
    <row r="62" spans="1:2" ht="17">
      <c r="A62" s="2" t="s">
        <v>50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2"/>
  <sheetViews>
    <sheetView workbookViewId="0">
      <selection activeCell="C89" sqref="C89"/>
    </sheetView>
  </sheetViews>
  <sheetFormatPr baseColWidth="10" defaultColWidth="8.83203125" defaultRowHeight="15"/>
  <cols>
    <col min="1" max="1" width="12" customWidth="1"/>
    <col min="2" max="2" width="30" customWidth="1"/>
    <col min="3" max="3" width="9" customWidth="1"/>
    <col min="4" max="4" width="18.5" customWidth="1"/>
    <col min="5" max="5" width="21.1640625" customWidth="1"/>
    <col min="6" max="19" width="9" customWidth="1"/>
  </cols>
  <sheetData>
    <row r="1" spans="1:16">
      <c r="A1" s="37" t="s">
        <v>51</v>
      </c>
      <c r="B1" s="38"/>
      <c r="C1" s="38"/>
      <c r="D1" s="38"/>
      <c r="E1" s="38"/>
      <c r="F1" s="38"/>
      <c r="G1" s="38"/>
      <c r="H1" s="38"/>
      <c r="I1" s="38"/>
      <c r="J1" s="38"/>
    </row>
    <row r="2" spans="1:16" ht="23">
      <c r="A2" s="1" t="s">
        <v>52</v>
      </c>
    </row>
    <row r="4" spans="1:16">
      <c r="A4" s="14" t="s">
        <v>53</v>
      </c>
      <c r="B4" t="str">
        <f>COUNTIF(F:F,"✓")/30*100&amp;"%"</f>
        <v>0%</v>
      </c>
    </row>
    <row r="6" spans="1:16" ht="19">
      <c r="A6" s="3"/>
      <c r="L6" s="3"/>
      <c r="O6" s="3"/>
    </row>
    <row r="7" spans="1:16">
      <c r="A7" s="14" t="s">
        <v>54</v>
      </c>
      <c r="B7" s="15" t="s">
        <v>55</v>
      </c>
      <c r="C7" s="15" t="s">
        <v>56</v>
      </c>
      <c r="D7" s="15" t="s">
        <v>57</v>
      </c>
      <c r="E7" s="15" t="s">
        <v>58</v>
      </c>
      <c r="F7" s="15" t="s">
        <v>59</v>
      </c>
      <c r="G7" s="15" t="s">
        <v>60</v>
      </c>
      <c r="H7" s="15" t="s">
        <v>61</v>
      </c>
      <c r="I7" s="15" t="s">
        <v>62</v>
      </c>
      <c r="O7" s="16" t="s">
        <v>63</v>
      </c>
    </row>
    <row r="8" spans="1:16" ht="16">
      <c r="A8" s="14" t="s">
        <v>64</v>
      </c>
      <c r="B8" s="17">
        <v>1</v>
      </c>
      <c r="C8" s="17">
        <v>2</v>
      </c>
      <c r="D8" s="17">
        <v>0</v>
      </c>
      <c r="E8" s="17">
        <v>-1</v>
      </c>
      <c r="F8" s="17">
        <v>1</v>
      </c>
      <c r="G8" s="17">
        <v>0</v>
      </c>
      <c r="H8" s="17">
        <v>0.5</v>
      </c>
      <c r="I8" s="17">
        <v>-0.5</v>
      </c>
      <c r="L8" s="14" t="s">
        <v>65</v>
      </c>
      <c r="M8" s="18">
        <v>0.3</v>
      </c>
      <c r="O8" s="14" t="s">
        <v>66</v>
      </c>
      <c r="P8" s="19">
        <v>1</v>
      </c>
    </row>
    <row r="9" spans="1:16" ht="16">
      <c r="A9" s="14" t="s">
        <v>67</v>
      </c>
      <c r="B9" s="17">
        <v>0.5</v>
      </c>
      <c r="C9" s="17">
        <v>1</v>
      </c>
      <c r="D9" s="17">
        <v>1</v>
      </c>
      <c r="E9" s="17">
        <v>0</v>
      </c>
      <c r="F9" s="17">
        <v>0.5</v>
      </c>
      <c r="G9" s="17">
        <v>-1</v>
      </c>
      <c r="H9" s="17">
        <v>0</v>
      </c>
      <c r="I9" s="17">
        <v>1</v>
      </c>
      <c r="L9" s="14" t="s">
        <v>68</v>
      </c>
      <c r="M9" s="18">
        <v>0.4</v>
      </c>
      <c r="O9" s="14" t="s">
        <v>69</v>
      </c>
      <c r="P9" s="19">
        <v>0</v>
      </c>
    </row>
    <row r="10" spans="1:16" ht="16">
      <c r="A10" s="14" t="s">
        <v>70</v>
      </c>
      <c r="B10" s="17">
        <v>2</v>
      </c>
      <c r="C10" s="17">
        <v>0</v>
      </c>
      <c r="D10" s="17">
        <v>-1</v>
      </c>
      <c r="E10" s="17">
        <v>1</v>
      </c>
      <c r="F10" s="17">
        <v>0</v>
      </c>
      <c r="G10" s="17">
        <v>0.5</v>
      </c>
      <c r="H10" s="17">
        <v>1</v>
      </c>
      <c r="I10" s="17">
        <v>0</v>
      </c>
      <c r="L10" s="14" t="s">
        <v>71</v>
      </c>
      <c r="M10" s="18">
        <v>-0.2</v>
      </c>
      <c r="O10" s="14" t="s">
        <v>72</v>
      </c>
      <c r="P10" s="19">
        <v>1</v>
      </c>
    </row>
    <row r="11" spans="1:16" ht="16">
      <c r="A11" s="14" t="s">
        <v>73</v>
      </c>
      <c r="B11" s="17">
        <v>0</v>
      </c>
      <c r="C11" s="17">
        <v>1.5</v>
      </c>
      <c r="D11" s="17">
        <v>0.5</v>
      </c>
      <c r="E11" s="17">
        <v>0.5</v>
      </c>
      <c r="F11" s="17">
        <v>-0.5</v>
      </c>
      <c r="G11" s="17">
        <v>1</v>
      </c>
      <c r="H11" s="17">
        <v>-1</v>
      </c>
      <c r="I11" s="17">
        <v>0.5</v>
      </c>
      <c r="L11" s="14" t="s">
        <v>74</v>
      </c>
      <c r="M11" s="18">
        <v>0.5</v>
      </c>
      <c r="O11" s="14" t="s">
        <v>75</v>
      </c>
      <c r="P11" s="19">
        <v>1</v>
      </c>
    </row>
    <row r="12" spans="1:16" ht="16">
      <c r="A12" s="14" t="s">
        <v>76</v>
      </c>
      <c r="B12" s="17">
        <v>1</v>
      </c>
      <c r="C12" s="17">
        <v>-1</v>
      </c>
      <c r="D12" s="17">
        <v>2</v>
      </c>
      <c r="E12" s="17">
        <v>0</v>
      </c>
      <c r="F12" s="17">
        <v>1</v>
      </c>
      <c r="G12" s="17">
        <v>0</v>
      </c>
      <c r="H12" s="17">
        <v>0.5</v>
      </c>
      <c r="I12" s="17">
        <v>0</v>
      </c>
      <c r="L12" s="14" t="s">
        <v>77</v>
      </c>
      <c r="M12" s="18">
        <v>-0.3</v>
      </c>
      <c r="O12" s="14" t="s">
        <v>78</v>
      </c>
      <c r="P12" s="19">
        <v>0</v>
      </c>
    </row>
    <row r="13" spans="1:16" ht="16">
      <c r="A13" s="14" t="s">
        <v>79</v>
      </c>
      <c r="B13" s="17">
        <v>-0.5</v>
      </c>
      <c r="C13" s="17">
        <v>1</v>
      </c>
      <c r="D13" s="17">
        <v>0</v>
      </c>
      <c r="E13" s="17">
        <v>1.5</v>
      </c>
      <c r="F13" s="17">
        <v>0</v>
      </c>
      <c r="G13" s="17">
        <v>0.5</v>
      </c>
      <c r="H13" s="17">
        <v>0</v>
      </c>
      <c r="I13" s="17">
        <v>1</v>
      </c>
      <c r="L13" s="14" t="s">
        <v>80</v>
      </c>
      <c r="M13" s="18">
        <v>0.2</v>
      </c>
      <c r="O13" s="14" t="s">
        <v>81</v>
      </c>
      <c r="P13" s="19">
        <v>1</v>
      </c>
    </row>
    <row r="14" spans="1:16" ht="16">
      <c r="A14" s="14" t="s">
        <v>82</v>
      </c>
      <c r="B14" s="17">
        <v>1.5</v>
      </c>
      <c r="C14" s="17">
        <v>0.5</v>
      </c>
      <c r="D14" s="17">
        <v>1</v>
      </c>
      <c r="E14" s="17">
        <v>-0.5</v>
      </c>
      <c r="F14" s="17">
        <v>0.5</v>
      </c>
      <c r="G14" s="17">
        <v>0</v>
      </c>
      <c r="H14" s="17">
        <v>1</v>
      </c>
      <c r="I14" s="17">
        <v>-1</v>
      </c>
      <c r="L14" s="14" t="s">
        <v>83</v>
      </c>
      <c r="M14" s="18">
        <v>0.35</v>
      </c>
      <c r="O14" s="14" t="s">
        <v>84</v>
      </c>
      <c r="P14" s="19">
        <v>1</v>
      </c>
    </row>
    <row r="15" spans="1:16" ht="16">
      <c r="A15" s="14" t="s">
        <v>85</v>
      </c>
      <c r="B15" s="17">
        <v>0</v>
      </c>
      <c r="C15" s="17">
        <v>2</v>
      </c>
      <c r="D15" s="17">
        <v>-0.5</v>
      </c>
      <c r="E15" s="17">
        <v>0</v>
      </c>
      <c r="F15" s="17">
        <v>1</v>
      </c>
      <c r="G15" s="17">
        <v>-0.5</v>
      </c>
      <c r="H15" s="17">
        <v>0.5</v>
      </c>
      <c r="I15" s="17">
        <v>0.5</v>
      </c>
      <c r="L15" s="14" t="s">
        <v>86</v>
      </c>
      <c r="M15" s="18">
        <v>-0.25</v>
      </c>
      <c r="O15" s="14" t="s">
        <v>87</v>
      </c>
      <c r="P15" s="19">
        <v>0</v>
      </c>
    </row>
    <row r="16" spans="1:16" ht="16">
      <c r="A16" s="14" t="s">
        <v>88</v>
      </c>
      <c r="B16" s="17">
        <v>1</v>
      </c>
      <c r="C16" s="17">
        <v>0</v>
      </c>
      <c r="D16" s="17">
        <v>1</v>
      </c>
      <c r="E16" s="17">
        <v>1</v>
      </c>
      <c r="F16" s="17">
        <v>-1</v>
      </c>
      <c r="G16" s="17">
        <v>1</v>
      </c>
      <c r="H16" s="17">
        <v>0</v>
      </c>
      <c r="I16" s="17">
        <v>0</v>
      </c>
      <c r="O16" s="14" t="s">
        <v>89</v>
      </c>
      <c r="P16" s="19">
        <v>1</v>
      </c>
    </row>
    <row r="17" spans="1:16" ht="16">
      <c r="A17" s="14" t="s">
        <v>90</v>
      </c>
      <c r="B17" s="17">
        <v>0.5</v>
      </c>
      <c r="C17" s="17">
        <v>0.5</v>
      </c>
      <c r="D17" s="17">
        <v>0.5</v>
      </c>
      <c r="E17" s="17">
        <v>0.5</v>
      </c>
      <c r="F17" s="17">
        <v>0.5</v>
      </c>
      <c r="G17" s="17">
        <v>0.5</v>
      </c>
      <c r="H17" s="17">
        <v>0.5</v>
      </c>
      <c r="I17" s="17">
        <v>0.5</v>
      </c>
      <c r="L17" s="14" t="s">
        <v>91</v>
      </c>
      <c r="M17" s="20">
        <v>-0.5</v>
      </c>
      <c r="O17" s="14" t="s">
        <v>92</v>
      </c>
      <c r="P17" s="19">
        <v>0</v>
      </c>
    </row>
    <row r="21" spans="1:16" ht="19">
      <c r="A21" s="3"/>
    </row>
    <row r="22" spans="1:16">
      <c r="A22" s="21" t="s">
        <v>93</v>
      </c>
    </row>
    <row r="24" spans="1:16" ht="17">
      <c r="A24" s="22" t="s">
        <v>54</v>
      </c>
      <c r="B24" s="22" t="s">
        <v>94</v>
      </c>
      <c r="C24" s="22" t="s">
        <v>95</v>
      </c>
      <c r="D24" s="22" t="s">
        <v>96</v>
      </c>
    </row>
    <row r="25" spans="1:16">
      <c r="A25" s="14" t="s">
        <v>64</v>
      </c>
      <c r="B25" s="23" t="s">
        <v>97</v>
      </c>
      <c r="C25" s="24">
        <v>0.1</v>
      </c>
      <c r="D25" s="25"/>
    </row>
    <row r="26" spans="1:16">
      <c r="A26" s="14" t="s">
        <v>67</v>
      </c>
      <c r="B26" s="23" t="s">
        <v>98</v>
      </c>
      <c r="C26" s="24">
        <v>-0.75</v>
      </c>
      <c r="D26" s="25"/>
    </row>
    <row r="27" spans="1:16">
      <c r="A27" s="14" t="s">
        <v>70</v>
      </c>
      <c r="B27" s="23" t="s">
        <v>99</v>
      </c>
      <c r="C27" s="24">
        <v>1.25</v>
      </c>
      <c r="D27" s="25"/>
    </row>
    <row r="28" spans="1:16">
      <c r="A28" s="14" t="s">
        <v>73</v>
      </c>
      <c r="B28" s="23" t="s">
        <v>100</v>
      </c>
      <c r="C28" s="24">
        <v>0.125</v>
      </c>
      <c r="D28" s="25"/>
    </row>
    <row r="29" spans="1:16">
      <c r="A29" s="14" t="s">
        <v>76</v>
      </c>
      <c r="B29" s="23" t="s">
        <v>101</v>
      </c>
      <c r="C29" s="24">
        <v>-1.125</v>
      </c>
      <c r="D29" s="25"/>
    </row>
    <row r="30" spans="1:16">
      <c r="A30" s="14" t="s">
        <v>79</v>
      </c>
      <c r="B30" s="23" t="s">
        <v>102</v>
      </c>
      <c r="C30" s="24">
        <v>0.35</v>
      </c>
      <c r="D30" s="25"/>
    </row>
    <row r="31" spans="1:16">
      <c r="A31" s="14" t="s">
        <v>82</v>
      </c>
      <c r="B31" s="23" t="s">
        <v>103</v>
      </c>
      <c r="C31" s="24">
        <v>0.15</v>
      </c>
      <c r="D31" s="25"/>
    </row>
    <row r="32" spans="1:16">
      <c r="A32" s="14" t="s">
        <v>85</v>
      </c>
      <c r="B32" s="23" t="s">
        <v>104</v>
      </c>
      <c r="C32" s="24">
        <v>0.05</v>
      </c>
      <c r="D32" s="25"/>
    </row>
    <row r="33" spans="1:5">
      <c r="A33" s="14" t="s">
        <v>88</v>
      </c>
      <c r="B33" s="23" t="s">
        <v>105</v>
      </c>
      <c r="C33" s="24">
        <v>0.6</v>
      </c>
      <c r="D33" s="25"/>
    </row>
    <row r="34" spans="1:5">
      <c r="A34" s="14" t="s">
        <v>90</v>
      </c>
      <c r="B34" s="23" t="s">
        <v>106</v>
      </c>
      <c r="C34" s="24">
        <v>0</v>
      </c>
      <c r="D34" s="25"/>
    </row>
    <row r="37" spans="1:5" ht="19">
      <c r="A37" s="3"/>
    </row>
    <row r="38" spans="1:5">
      <c r="A38" s="26" t="s">
        <v>107</v>
      </c>
    </row>
    <row r="40" spans="1:5" ht="17">
      <c r="A40" s="22" t="s">
        <v>54</v>
      </c>
      <c r="B40" s="22" t="s">
        <v>95</v>
      </c>
      <c r="C40" s="22" t="s">
        <v>108</v>
      </c>
      <c r="D40" s="22" t="s">
        <v>109</v>
      </c>
      <c r="E40" s="22" t="s">
        <v>96</v>
      </c>
    </row>
    <row r="41" spans="1:5">
      <c r="A41" s="14" t="s">
        <v>64</v>
      </c>
      <c r="B41" s="24">
        <v>0.1</v>
      </c>
      <c r="C41" s="23">
        <v>0.90480000000000005</v>
      </c>
      <c r="D41" s="27">
        <v>0.52500000000000002</v>
      </c>
      <c r="E41" s="25"/>
    </row>
    <row r="42" spans="1:5">
      <c r="A42" s="14" t="s">
        <v>67</v>
      </c>
      <c r="B42" s="24">
        <v>-0.75</v>
      </c>
      <c r="C42" s="23">
        <v>2.117</v>
      </c>
      <c r="D42" s="27">
        <v>0.32079999999999997</v>
      </c>
      <c r="E42" s="25"/>
    </row>
    <row r="43" spans="1:5">
      <c r="A43" s="14" t="s">
        <v>70</v>
      </c>
      <c r="B43" s="24">
        <v>1.25</v>
      </c>
      <c r="C43" s="23">
        <v>0.28649999999999998</v>
      </c>
      <c r="D43" s="27">
        <v>0.77729999999999999</v>
      </c>
      <c r="E43" s="25"/>
    </row>
    <row r="44" spans="1:5">
      <c r="A44" s="14" t="s">
        <v>73</v>
      </c>
      <c r="B44" s="24">
        <v>0.125</v>
      </c>
      <c r="C44" s="23">
        <v>0.88249999999999995</v>
      </c>
      <c r="D44" s="27">
        <v>0.53120000000000001</v>
      </c>
      <c r="E44" s="25"/>
    </row>
    <row r="45" spans="1:5">
      <c r="A45" s="14" t="s">
        <v>76</v>
      </c>
      <c r="B45" s="24">
        <v>-1.125</v>
      </c>
      <c r="C45" s="23">
        <v>3.0802</v>
      </c>
      <c r="D45" s="27">
        <v>0.24510000000000001</v>
      </c>
      <c r="E45" s="25"/>
    </row>
    <row r="46" spans="1:5">
      <c r="A46" s="14" t="s">
        <v>79</v>
      </c>
      <c r="B46" s="24">
        <v>0.35</v>
      </c>
      <c r="C46" s="23">
        <v>0.70469999999999999</v>
      </c>
      <c r="D46" s="27">
        <v>0.58660000000000001</v>
      </c>
      <c r="E46" s="25"/>
    </row>
    <row r="47" spans="1:5">
      <c r="A47" s="14" t="s">
        <v>82</v>
      </c>
      <c r="B47" s="24">
        <v>0.15</v>
      </c>
      <c r="C47" s="23">
        <v>0.86070000000000002</v>
      </c>
      <c r="D47" s="27">
        <v>0.53739999999999999</v>
      </c>
      <c r="E47" s="25"/>
    </row>
    <row r="48" spans="1:5">
      <c r="A48" s="14" t="s">
        <v>85</v>
      </c>
      <c r="B48" s="24">
        <v>0.05</v>
      </c>
      <c r="C48" s="23">
        <v>0.95120000000000005</v>
      </c>
      <c r="D48" s="27">
        <v>0.51249999999999996</v>
      </c>
      <c r="E48" s="25"/>
    </row>
    <row r="49" spans="1:5">
      <c r="A49" s="14" t="s">
        <v>88</v>
      </c>
      <c r="B49" s="24">
        <v>0.6</v>
      </c>
      <c r="C49" s="23">
        <v>0.54879999999999995</v>
      </c>
      <c r="D49" s="27">
        <v>0.64570000000000005</v>
      </c>
      <c r="E49" s="25"/>
    </row>
    <row r="50" spans="1:5">
      <c r="A50" s="14" t="s">
        <v>90</v>
      </c>
      <c r="B50" s="24">
        <v>0</v>
      </c>
      <c r="C50" s="23">
        <v>1</v>
      </c>
      <c r="D50" s="27">
        <v>0.5</v>
      </c>
      <c r="E50" s="25"/>
    </row>
    <row r="53" spans="1:5" ht="19">
      <c r="A53" s="3"/>
    </row>
    <row r="54" spans="1:5">
      <c r="A54" s="26" t="s">
        <v>110</v>
      </c>
    </row>
    <row r="56" spans="1:5" ht="17">
      <c r="A56" s="22" t="s">
        <v>54</v>
      </c>
      <c r="B56" s="22" t="s">
        <v>111</v>
      </c>
      <c r="C56" s="22" t="s">
        <v>112</v>
      </c>
      <c r="D56" s="22" t="s">
        <v>113</v>
      </c>
      <c r="E56" s="22" t="s">
        <v>114</v>
      </c>
    </row>
    <row r="57" spans="1:5">
      <c r="A57" s="14" t="s">
        <v>64</v>
      </c>
      <c r="B57" s="27">
        <v>0.52500000000000002</v>
      </c>
      <c r="C57" s="24">
        <v>1</v>
      </c>
      <c r="D57" s="28">
        <v>1</v>
      </c>
      <c r="E57" s="29" t="s">
        <v>115</v>
      </c>
    </row>
    <row r="58" spans="1:5">
      <c r="A58" s="14" t="s">
        <v>67</v>
      </c>
      <c r="B58" s="27">
        <v>0.32079999999999997</v>
      </c>
      <c r="C58" s="24">
        <v>0</v>
      </c>
      <c r="D58" s="28">
        <v>0</v>
      </c>
      <c r="E58" s="29" t="s">
        <v>115</v>
      </c>
    </row>
    <row r="59" spans="1:5">
      <c r="A59" s="14" t="s">
        <v>70</v>
      </c>
      <c r="B59" s="27">
        <v>0.77729999999999999</v>
      </c>
      <c r="C59" s="24">
        <v>1</v>
      </c>
      <c r="D59" s="28">
        <v>1</v>
      </c>
      <c r="E59" s="29" t="s">
        <v>115</v>
      </c>
    </row>
    <row r="60" spans="1:5">
      <c r="A60" s="14" t="s">
        <v>73</v>
      </c>
      <c r="B60" s="27">
        <v>0.53120000000000001</v>
      </c>
      <c r="C60" s="24">
        <v>1</v>
      </c>
      <c r="D60" s="28">
        <v>1</v>
      </c>
      <c r="E60" s="29" t="s">
        <v>115</v>
      </c>
    </row>
    <row r="61" spans="1:5">
      <c r="A61" s="14" t="s">
        <v>76</v>
      </c>
      <c r="B61" s="27">
        <v>0.24510000000000001</v>
      </c>
      <c r="C61" s="24">
        <v>0</v>
      </c>
      <c r="D61" s="28">
        <v>0</v>
      </c>
      <c r="E61" s="29" t="s">
        <v>115</v>
      </c>
    </row>
    <row r="62" spans="1:5">
      <c r="A62" s="14" t="s">
        <v>79</v>
      </c>
      <c r="B62" s="27">
        <v>0.58660000000000001</v>
      </c>
      <c r="C62" s="24">
        <v>1</v>
      </c>
      <c r="D62" s="28">
        <v>1</v>
      </c>
      <c r="E62" s="29" t="s">
        <v>115</v>
      </c>
    </row>
    <row r="63" spans="1:5">
      <c r="A63" s="14" t="s">
        <v>82</v>
      </c>
      <c r="B63" s="27">
        <v>0.53739999999999999</v>
      </c>
      <c r="C63" s="24">
        <v>1</v>
      </c>
      <c r="D63" s="28">
        <v>1</v>
      </c>
      <c r="E63" s="29" t="s">
        <v>115</v>
      </c>
    </row>
    <row r="64" spans="1:5">
      <c r="A64" s="14" t="s">
        <v>85</v>
      </c>
      <c r="B64" s="27">
        <v>0.51249999999999996</v>
      </c>
      <c r="C64" s="24">
        <v>0</v>
      </c>
      <c r="D64" s="28">
        <v>1</v>
      </c>
      <c r="E64" s="30" t="s">
        <v>116</v>
      </c>
    </row>
    <row r="65" spans="1:5">
      <c r="A65" s="14" t="s">
        <v>88</v>
      </c>
      <c r="B65" s="27">
        <v>0.64570000000000005</v>
      </c>
      <c r="C65" s="24">
        <v>1</v>
      </c>
      <c r="D65" s="28">
        <v>1</v>
      </c>
      <c r="E65" s="29" t="s">
        <v>115</v>
      </c>
    </row>
    <row r="66" spans="1:5">
      <c r="A66" s="14" t="s">
        <v>90</v>
      </c>
      <c r="B66" s="27">
        <v>0.5</v>
      </c>
      <c r="C66" s="24">
        <v>0</v>
      </c>
      <c r="D66" s="28">
        <v>1</v>
      </c>
      <c r="E66" s="30" t="s">
        <v>116</v>
      </c>
    </row>
    <row r="68" spans="1:5">
      <c r="A68" s="14" t="s">
        <v>117</v>
      </c>
    </row>
    <row r="70" spans="1:5" ht="19">
      <c r="A70" s="3"/>
    </row>
    <row r="71" spans="1:5">
      <c r="A71" s="21" t="s">
        <v>118</v>
      </c>
    </row>
    <row r="73" spans="1:5" ht="17">
      <c r="A73" s="22" t="s">
        <v>54</v>
      </c>
      <c r="B73" s="22" t="s">
        <v>112</v>
      </c>
      <c r="C73" s="22" t="s">
        <v>111</v>
      </c>
      <c r="D73" s="22" t="s">
        <v>119</v>
      </c>
      <c r="E73" s="22" t="s">
        <v>96</v>
      </c>
    </row>
    <row r="74" spans="1:5">
      <c r="A74" s="14" t="s">
        <v>64</v>
      </c>
      <c r="B74" s="24">
        <v>1</v>
      </c>
      <c r="C74" s="27">
        <v>0.52500000000000002</v>
      </c>
      <c r="D74" s="31">
        <v>0.64439999999999997</v>
      </c>
      <c r="E74" s="25"/>
    </row>
    <row r="75" spans="1:5">
      <c r="A75" s="14" t="s">
        <v>67</v>
      </c>
      <c r="B75" s="24">
        <v>0</v>
      </c>
      <c r="C75" s="27">
        <v>0.32079999999999997</v>
      </c>
      <c r="D75" s="31">
        <v>0.38690000000000002</v>
      </c>
      <c r="E75" s="25"/>
    </row>
    <row r="76" spans="1:5">
      <c r="A76" s="14" t="s">
        <v>70</v>
      </c>
      <c r="B76" s="24">
        <v>1</v>
      </c>
      <c r="C76" s="27">
        <v>0.77729999999999999</v>
      </c>
      <c r="D76" s="31">
        <v>0.25190000000000001</v>
      </c>
      <c r="E76" s="25"/>
    </row>
    <row r="77" spans="1:5">
      <c r="A77" s="14" t="s">
        <v>73</v>
      </c>
      <c r="B77" s="24">
        <v>1</v>
      </c>
      <c r="C77" s="27">
        <v>0.53120000000000001</v>
      </c>
      <c r="D77" s="31">
        <v>0.63260000000000005</v>
      </c>
      <c r="E77" s="25"/>
    </row>
    <row r="78" spans="1:5">
      <c r="A78" s="14" t="s">
        <v>76</v>
      </c>
      <c r="B78" s="24">
        <v>0</v>
      </c>
      <c r="C78" s="27">
        <v>0.24510000000000001</v>
      </c>
      <c r="D78" s="31">
        <v>0.28120000000000001</v>
      </c>
      <c r="E78" s="25"/>
    </row>
    <row r="79" spans="1:5">
      <c r="A79" s="14" t="s">
        <v>79</v>
      </c>
      <c r="B79" s="24">
        <v>1</v>
      </c>
      <c r="C79" s="27">
        <v>0.58660000000000001</v>
      </c>
      <c r="D79" s="31">
        <v>0.53339999999999999</v>
      </c>
      <c r="E79" s="25"/>
    </row>
    <row r="80" spans="1:5">
      <c r="A80" s="14" t="s">
        <v>82</v>
      </c>
      <c r="B80" s="24">
        <v>1</v>
      </c>
      <c r="C80" s="27">
        <v>0.53739999999999999</v>
      </c>
      <c r="D80" s="31">
        <v>0.621</v>
      </c>
      <c r="E80" s="25"/>
    </row>
    <row r="81" spans="1:5">
      <c r="A81" s="14" t="s">
        <v>85</v>
      </c>
      <c r="B81" s="24">
        <v>0</v>
      </c>
      <c r="C81" s="27">
        <v>0.51249999999999996</v>
      </c>
      <c r="D81" s="31">
        <v>0.71850000000000003</v>
      </c>
      <c r="E81" s="25"/>
    </row>
    <row r="82" spans="1:5">
      <c r="A82" s="14" t="s">
        <v>88</v>
      </c>
      <c r="B82" s="24">
        <v>1</v>
      </c>
      <c r="C82" s="27">
        <v>0.64570000000000005</v>
      </c>
      <c r="D82" s="31">
        <v>0.4375</v>
      </c>
      <c r="E82" s="25"/>
    </row>
    <row r="83" spans="1:5">
      <c r="A83" s="14" t="s">
        <v>90</v>
      </c>
      <c r="B83" s="24">
        <v>0</v>
      </c>
      <c r="C83" s="27">
        <v>0.5</v>
      </c>
      <c r="D83" s="31">
        <v>0.69310000000000005</v>
      </c>
      <c r="E83" s="25"/>
    </row>
    <row r="86" spans="1:5" ht="19">
      <c r="A86" s="3"/>
    </row>
    <row r="87" spans="1:5">
      <c r="A87" t="s">
        <v>120</v>
      </c>
      <c r="B87" s="23">
        <v>5.2003779999999997</v>
      </c>
    </row>
    <row r="88" spans="1:5">
      <c r="A88" t="s">
        <v>121</v>
      </c>
      <c r="B88" s="23">
        <v>10</v>
      </c>
    </row>
    <row r="89" spans="1:5">
      <c r="A89" s="14" t="s">
        <v>122</v>
      </c>
      <c r="B89" s="25"/>
    </row>
    <row r="91" spans="1:5" ht="19">
      <c r="A91" s="3"/>
    </row>
    <row r="92" spans="1:5">
      <c r="A92" s="32" t="s">
        <v>123</v>
      </c>
    </row>
  </sheetData>
  <mergeCells count="1">
    <mergeCell ref="A1:J1"/>
  </mergeCells>
  <conditionalFormatting sqref="C1:C100">
    <cfRule type="expression" dxfId="9" priority="4">
      <formula>F1="✓"</formula>
    </cfRule>
    <cfRule type="expression" dxfId="8" priority="4">
      <formula>F1="✗"</formula>
    </cfRule>
  </conditionalFormatting>
  <conditionalFormatting sqref="E1:E100">
    <cfRule type="expression" dxfId="7" priority="1">
      <formula>F1="✓"</formula>
    </cfRule>
    <cfRule type="expression" dxfId="6" priority="2">
      <formula>F1="✗"</formula>
    </cfRule>
  </conditionalFormatting>
  <conditionalFormatting sqref="F1:F39 F41:F100">
    <cfRule type="expression" dxfId="5" priority="3">
      <formula>F1="✓"</formula>
    </cfRule>
    <cfRule type="expression" dxfId="4" priority="3">
      <formula>F1="✗"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abSelected="1" topLeftCell="A46" workbookViewId="0">
      <selection activeCell="D59" sqref="D59"/>
    </sheetView>
  </sheetViews>
  <sheetFormatPr baseColWidth="10" defaultColWidth="8.83203125" defaultRowHeight="15"/>
  <cols>
    <col min="1" max="1" width="15" customWidth="1"/>
    <col min="2" max="2" width="40" customWidth="1"/>
    <col min="3" max="3" width="11" customWidth="1"/>
    <col min="4" max="4" width="24" customWidth="1"/>
    <col min="5" max="5" width="14.83203125" customWidth="1"/>
    <col min="6" max="19" width="11" customWidth="1"/>
  </cols>
  <sheetData>
    <row r="1" spans="1:6">
      <c r="A1" s="37" t="s">
        <v>124</v>
      </c>
      <c r="B1" s="38"/>
      <c r="C1" s="38"/>
      <c r="D1" s="38"/>
      <c r="E1" s="38"/>
      <c r="F1" s="38"/>
    </row>
    <row r="2" spans="1:6" ht="23">
      <c r="A2" s="1" t="s">
        <v>125</v>
      </c>
    </row>
    <row r="4" spans="1:6">
      <c r="A4" s="33" t="s">
        <v>126</v>
      </c>
    </row>
    <row r="6" spans="1:6">
      <c r="A6" s="14" t="s">
        <v>53</v>
      </c>
      <c r="B6" t="str">
        <f>COUNTIF(E:E,"✓")/20*100&amp;"%"</f>
        <v>0%</v>
      </c>
    </row>
    <row r="8" spans="1:6">
      <c r="A8" s="14" t="s">
        <v>127</v>
      </c>
      <c r="B8" s="34">
        <v>0.1</v>
      </c>
    </row>
    <row r="10" spans="1:6" ht="19">
      <c r="A10" s="3"/>
    </row>
    <row r="11" spans="1:6">
      <c r="A11" s="21" t="s">
        <v>128</v>
      </c>
    </row>
    <row r="12" spans="1:6">
      <c r="A12" s="35" t="s">
        <v>129</v>
      </c>
    </row>
    <row r="14" spans="1:6" ht="17">
      <c r="A14" s="22" t="s">
        <v>54</v>
      </c>
      <c r="B14" s="22" t="s">
        <v>130</v>
      </c>
      <c r="C14" s="22" t="s">
        <v>131</v>
      </c>
      <c r="D14" s="22" t="s">
        <v>96</v>
      </c>
    </row>
    <row r="15" spans="1:6">
      <c r="A15" s="14" t="s">
        <v>64</v>
      </c>
      <c r="B15" s="23" t="s">
        <v>132</v>
      </c>
      <c r="C15" s="31">
        <v>-4.7502000000000003E-2</v>
      </c>
      <c r="D15" s="25"/>
    </row>
    <row r="16" spans="1:6">
      <c r="A16" s="14" t="s">
        <v>67</v>
      </c>
      <c r="B16" s="23" t="s">
        <v>133</v>
      </c>
      <c r="C16" s="31">
        <v>3.2081999999999999E-2</v>
      </c>
      <c r="D16" s="25"/>
    </row>
    <row r="17" spans="1:4">
      <c r="A17" s="14" t="s">
        <v>70</v>
      </c>
      <c r="B17" s="23" t="s">
        <v>134</v>
      </c>
      <c r="C17" s="31">
        <v>-2.2270000000000002E-2</v>
      </c>
      <c r="D17" s="25"/>
    </row>
    <row r="18" spans="1:4">
      <c r="A18" s="14" t="s">
        <v>73</v>
      </c>
      <c r="B18" s="23" t="s">
        <v>135</v>
      </c>
      <c r="C18" s="31">
        <v>-4.6878999999999997E-2</v>
      </c>
      <c r="D18" s="25"/>
    </row>
    <row r="19" spans="1:4">
      <c r="A19" s="14" t="s">
        <v>76</v>
      </c>
      <c r="B19" s="23" t="s">
        <v>136</v>
      </c>
      <c r="C19" s="31">
        <v>2.4509E-2</v>
      </c>
      <c r="D19" s="25"/>
    </row>
    <row r="20" spans="1:4">
      <c r="A20" s="14" t="s">
        <v>79</v>
      </c>
      <c r="B20" s="23" t="s">
        <v>137</v>
      </c>
      <c r="C20" s="31">
        <v>-4.1338E-2</v>
      </c>
      <c r="D20" s="25"/>
    </row>
    <row r="21" spans="1:4">
      <c r="A21" s="14" t="s">
        <v>82</v>
      </c>
      <c r="B21" s="23" t="s">
        <v>138</v>
      </c>
      <c r="C21" s="31">
        <v>-4.6257E-2</v>
      </c>
      <c r="D21" s="25"/>
    </row>
    <row r="22" spans="1:4">
      <c r="A22" s="14" t="s">
        <v>85</v>
      </c>
      <c r="B22" s="23" t="s">
        <v>139</v>
      </c>
      <c r="C22" s="31">
        <v>5.1249999999999997E-2</v>
      </c>
      <c r="D22" s="25"/>
    </row>
    <row r="23" spans="1:4">
      <c r="A23" s="14" t="s">
        <v>88</v>
      </c>
      <c r="B23" s="23" t="s">
        <v>140</v>
      </c>
      <c r="C23" s="31">
        <v>-3.5434E-2</v>
      </c>
      <c r="D23" s="25"/>
    </row>
    <row r="24" spans="1:4">
      <c r="A24" s="14" t="s">
        <v>90</v>
      </c>
      <c r="B24" s="23" t="s">
        <v>141</v>
      </c>
      <c r="C24" s="31">
        <v>0.05</v>
      </c>
      <c r="D24" s="25"/>
    </row>
    <row r="27" spans="1:4" ht="19">
      <c r="A27" s="3"/>
    </row>
    <row r="28" spans="1:4">
      <c r="A28" s="21" t="s">
        <v>142</v>
      </c>
    </row>
    <row r="29" spans="1:4">
      <c r="A29" s="21" t="s">
        <v>143</v>
      </c>
    </row>
    <row r="31" spans="1:4" ht="17">
      <c r="A31" s="22" t="s">
        <v>144</v>
      </c>
      <c r="B31" s="22" t="s">
        <v>145</v>
      </c>
      <c r="C31" s="22" t="s">
        <v>146</v>
      </c>
      <c r="D31" s="22" t="s">
        <v>96</v>
      </c>
    </row>
    <row r="32" spans="1:4">
      <c r="A32" s="14" t="s">
        <v>147</v>
      </c>
      <c r="B32" s="23" t="s">
        <v>148</v>
      </c>
      <c r="C32" s="31">
        <v>-0.11064300000000001</v>
      </c>
      <c r="D32" s="25"/>
    </row>
    <row r="33" spans="1:5">
      <c r="A33" s="14" t="s">
        <v>149</v>
      </c>
      <c r="B33" s="23" t="s">
        <v>150</v>
      </c>
      <c r="C33" s="31">
        <v>-9.4715999999999995E-2</v>
      </c>
      <c r="D33" s="25"/>
    </row>
    <row r="34" spans="1:5">
      <c r="A34" s="14" t="s">
        <v>151</v>
      </c>
      <c r="B34" s="23" t="s">
        <v>152</v>
      </c>
      <c r="C34" s="31">
        <v>-2.3869999999999998E-3</v>
      </c>
      <c r="D34" s="25"/>
    </row>
    <row r="35" spans="1:5">
      <c r="A35" s="14" t="s">
        <v>153</v>
      </c>
      <c r="B35" s="23" t="s">
        <v>154</v>
      </c>
      <c r="C35" s="31">
        <v>-4.7521000000000001E-2</v>
      </c>
      <c r="D35" s="25"/>
    </row>
    <row r="36" spans="1:5">
      <c r="A36" s="14" t="s">
        <v>155</v>
      </c>
      <c r="B36" s="23" t="s">
        <v>148</v>
      </c>
      <c r="C36" s="31">
        <v>0.105043</v>
      </c>
      <c r="D36" s="25"/>
    </row>
    <row r="37" spans="1:5">
      <c r="A37" s="14" t="s">
        <v>156</v>
      </c>
      <c r="B37" s="23" t="s">
        <v>157</v>
      </c>
      <c r="C37" s="31">
        <v>-0.14682500000000001</v>
      </c>
      <c r="D37" s="25"/>
    </row>
    <row r="38" spans="1:5">
      <c r="A38" s="14" t="s">
        <v>158</v>
      </c>
      <c r="B38" s="23" t="s">
        <v>159</v>
      </c>
      <c r="C38" s="31">
        <v>1.7479999999999999E-2</v>
      </c>
      <c r="D38" s="25"/>
    </row>
    <row r="39" spans="1:5">
      <c r="A39" s="14" t="s">
        <v>160</v>
      </c>
      <c r="B39" s="23" t="s">
        <v>161</v>
      </c>
      <c r="C39" s="31">
        <v>8.7937000000000001E-2</v>
      </c>
      <c r="D39" s="25"/>
    </row>
    <row r="41" spans="1:5">
      <c r="A41" s="14" t="s">
        <v>162</v>
      </c>
      <c r="B41" s="23" t="s">
        <v>163</v>
      </c>
      <c r="C41" s="31">
        <v>-8.1839999999999996E-2</v>
      </c>
      <c r="D41" s="25"/>
    </row>
    <row r="43" spans="1:5" ht="19">
      <c r="A43" s="3"/>
    </row>
    <row r="44" spans="1:5">
      <c r="A44" s="21" t="s">
        <v>164</v>
      </c>
    </row>
    <row r="46" spans="1:5" ht="17">
      <c r="A46" s="22" t="s">
        <v>144</v>
      </c>
      <c r="B46" s="22" t="s">
        <v>165</v>
      </c>
      <c r="C46" s="22" t="s">
        <v>166</v>
      </c>
      <c r="D46" s="22" t="s">
        <v>167</v>
      </c>
      <c r="E46" s="22" t="s">
        <v>96</v>
      </c>
    </row>
    <row r="47" spans="1:5">
      <c r="A47" s="14" t="s">
        <v>65</v>
      </c>
      <c r="B47" s="34">
        <v>0.3</v>
      </c>
      <c r="C47" s="31">
        <v>-0.11064300000000001</v>
      </c>
      <c r="D47" s="32">
        <v>0.31106400000000001</v>
      </c>
      <c r="E47" s="25"/>
    </row>
    <row r="48" spans="1:5">
      <c r="A48" s="14" t="s">
        <v>68</v>
      </c>
      <c r="B48" s="34">
        <v>0.4</v>
      </c>
      <c r="C48" s="31">
        <v>-9.4715999999999995E-2</v>
      </c>
      <c r="D48" s="32">
        <v>0.409472</v>
      </c>
      <c r="E48" s="25"/>
    </row>
    <row r="49" spans="1:5">
      <c r="A49" s="14" t="s">
        <v>71</v>
      </c>
      <c r="B49" s="34">
        <v>-0.2</v>
      </c>
      <c r="C49" s="31">
        <v>-2.3869999999999998E-3</v>
      </c>
      <c r="D49" s="32">
        <v>-0.19976099999999999</v>
      </c>
      <c r="E49" s="25"/>
    </row>
    <row r="50" spans="1:5">
      <c r="A50" s="14" t="s">
        <v>74</v>
      </c>
      <c r="B50" s="34">
        <v>0.5</v>
      </c>
      <c r="C50" s="31">
        <v>-4.7521000000000001E-2</v>
      </c>
      <c r="D50" s="32">
        <v>0.50475199999999998</v>
      </c>
      <c r="E50" s="25"/>
    </row>
    <row r="51" spans="1:5">
      <c r="A51" s="14" t="s">
        <v>77</v>
      </c>
      <c r="B51" s="34">
        <v>-0.3</v>
      </c>
      <c r="C51" s="31">
        <v>0.105043</v>
      </c>
      <c r="D51" s="32">
        <v>-0.310504</v>
      </c>
      <c r="E51" s="25"/>
    </row>
    <row r="52" spans="1:5">
      <c r="A52" s="14" t="s">
        <v>80</v>
      </c>
      <c r="B52" s="34">
        <v>0.2</v>
      </c>
      <c r="C52" s="31">
        <v>-0.14682500000000001</v>
      </c>
      <c r="D52" s="32">
        <v>0.21468200000000001</v>
      </c>
      <c r="E52" s="25"/>
    </row>
    <row r="53" spans="1:5">
      <c r="A53" s="14" t="s">
        <v>83</v>
      </c>
      <c r="B53" s="34">
        <v>0.35</v>
      </c>
      <c r="C53" s="31">
        <v>1.7479999999999999E-2</v>
      </c>
      <c r="D53" s="32">
        <v>0.34825200000000001</v>
      </c>
      <c r="E53" s="25"/>
    </row>
    <row r="54" spans="1:5">
      <c r="A54" s="14" t="s">
        <v>86</v>
      </c>
      <c r="B54" s="34">
        <v>-0.25</v>
      </c>
      <c r="C54" s="31">
        <v>8.7937000000000001E-2</v>
      </c>
      <c r="D54" s="32">
        <v>-0.25879400000000002</v>
      </c>
      <c r="E54" s="25"/>
    </row>
    <row r="55" spans="1:5">
      <c r="A55" s="14" t="s">
        <v>91</v>
      </c>
      <c r="B55" s="34">
        <v>-0.5</v>
      </c>
      <c r="C55" s="31">
        <v>-8.1839999999999996E-2</v>
      </c>
      <c r="D55" s="32">
        <v>-0.49181599999999998</v>
      </c>
      <c r="E55" s="25"/>
    </row>
    <row r="57" spans="1:5" ht="19">
      <c r="A57" s="3"/>
    </row>
    <row r="59" spans="1:5">
      <c r="A59" s="14" t="s">
        <v>168</v>
      </c>
      <c r="B59" s="31">
        <v>0.520038</v>
      </c>
    </row>
    <row r="60" spans="1:5">
      <c r="A60" s="14" t="s">
        <v>169</v>
      </c>
      <c r="B60" s="32">
        <v>0.51304899999999998</v>
      </c>
    </row>
    <row r="61" spans="1:5">
      <c r="A61" s="14" t="s">
        <v>170</v>
      </c>
      <c r="B61" s="36">
        <v>6.9890000000000004E-3</v>
      </c>
    </row>
  </sheetData>
  <mergeCells count="1">
    <mergeCell ref="A1:F1"/>
  </mergeCells>
  <conditionalFormatting sqref="E1:E100">
    <cfRule type="expression" dxfId="3" priority="1">
      <formula>E1="✓"</formula>
    </cfRule>
    <cfRule type="expression" dxfId="2" priority="2">
      <formula>E1="✗"</formula>
    </cfRule>
  </conditionalFormatting>
  <conditionalFormatting sqref="F1:F100">
    <cfRule type="expression" dxfId="1" priority="3">
      <formula>E1="✓"</formula>
    </cfRule>
    <cfRule type="expression" dxfId="0" priority="3">
      <formula>E1="✗"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workbookViewId="0"/>
  </sheetViews>
  <sheetFormatPr baseColWidth="10" defaultColWidth="8.83203125" defaultRowHeight="15"/>
  <cols>
    <col min="1" max="1" width="25" customWidth="1"/>
    <col min="2" max="4" width="15" customWidth="1"/>
  </cols>
  <sheetData>
    <row r="1" spans="1:5">
      <c r="A1" s="37" t="s">
        <v>171</v>
      </c>
      <c r="B1" s="38"/>
      <c r="C1" s="38"/>
      <c r="D1" s="38"/>
      <c r="E1" s="38"/>
    </row>
    <row r="2" spans="1:5" ht="23">
      <c r="A2" s="1" t="s">
        <v>172</v>
      </c>
    </row>
    <row r="4" spans="1:5" ht="19">
      <c r="A4" s="3"/>
      <c r="B4" s="14" t="s">
        <v>95</v>
      </c>
      <c r="C4" s="14" t="s">
        <v>173</v>
      </c>
      <c r="D4" s="14" t="s">
        <v>119</v>
      </c>
    </row>
    <row r="5" spans="1:5">
      <c r="A5" t="s">
        <v>174</v>
      </c>
      <c r="B5">
        <v>0.1</v>
      </c>
      <c r="C5">
        <v>0.52497899999999997</v>
      </c>
      <c r="D5">
        <v>0.64439599999999997</v>
      </c>
    </row>
    <row r="6" spans="1:5">
      <c r="A6" t="s">
        <v>175</v>
      </c>
      <c r="B6">
        <v>-0.75</v>
      </c>
      <c r="C6">
        <v>0.32082100000000002</v>
      </c>
      <c r="D6">
        <v>0.38687100000000002</v>
      </c>
    </row>
    <row r="7" spans="1:5">
      <c r="A7" t="s">
        <v>176</v>
      </c>
      <c r="B7">
        <v>1.25</v>
      </c>
      <c r="C7">
        <v>0.77729999999999999</v>
      </c>
      <c r="D7">
        <v>0.25192900000000001</v>
      </c>
    </row>
    <row r="8" spans="1:5">
      <c r="A8" t="s">
        <v>177</v>
      </c>
      <c r="B8">
        <v>0.125</v>
      </c>
      <c r="C8">
        <v>0.53120900000000004</v>
      </c>
      <c r="D8">
        <v>0.63259900000000002</v>
      </c>
    </row>
    <row r="9" spans="1:5">
      <c r="A9" t="s">
        <v>178</v>
      </c>
      <c r="B9">
        <v>-1.125</v>
      </c>
      <c r="C9">
        <v>0.245085</v>
      </c>
      <c r="D9">
        <v>0.28115000000000001</v>
      </c>
    </row>
    <row r="10" spans="1:5">
      <c r="A10" t="s">
        <v>179</v>
      </c>
      <c r="B10">
        <v>0.35</v>
      </c>
      <c r="C10">
        <v>0.58661799999999997</v>
      </c>
      <c r="D10">
        <v>0.53338200000000002</v>
      </c>
    </row>
    <row r="11" spans="1:5">
      <c r="A11" t="s">
        <v>180</v>
      </c>
      <c r="B11">
        <v>0.15</v>
      </c>
      <c r="C11">
        <v>0.53742999999999996</v>
      </c>
      <c r="D11">
        <v>0.62095699999999998</v>
      </c>
    </row>
    <row r="12" spans="1:5">
      <c r="A12" t="s">
        <v>181</v>
      </c>
      <c r="B12">
        <v>0.05</v>
      </c>
      <c r="C12">
        <v>0.51249699999999998</v>
      </c>
      <c r="D12">
        <v>0.71845899999999996</v>
      </c>
    </row>
    <row r="13" spans="1:5">
      <c r="A13" t="s">
        <v>182</v>
      </c>
      <c r="B13">
        <v>0.6</v>
      </c>
      <c r="C13">
        <v>0.64565600000000001</v>
      </c>
      <c r="D13">
        <v>0.43748799999999999</v>
      </c>
    </row>
    <row r="14" spans="1:5">
      <c r="A14" t="s">
        <v>183</v>
      </c>
      <c r="B14">
        <v>0</v>
      </c>
      <c r="C14">
        <v>0.5</v>
      </c>
      <c r="D14">
        <v>0.69314699999999996</v>
      </c>
    </row>
    <row r="16" spans="1:5">
      <c r="A16" t="s">
        <v>184</v>
      </c>
      <c r="B16">
        <v>5.2003779999999997</v>
      </c>
    </row>
    <row r="18" spans="1:2">
      <c r="A18" t="s">
        <v>185</v>
      </c>
      <c r="B18">
        <v>0.520038</v>
      </c>
    </row>
    <row r="20" spans="1:2" ht="19">
      <c r="A20" s="3"/>
    </row>
    <row r="22" spans="1:2">
      <c r="A22" t="s">
        <v>186</v>
      </c>
      <c r="B22">
        <v>10</v>
      </c>
    </row>
    <row r="23" spans="1:2">
      <c r="A23" s="14" t="s">
        <v>187</v>
      </c>
    </row>
    <row r="24" spans="1:2">
      <c r="A24" t="s">
        <v>188</v>
      </c>
      <c r="B24">
        <v>-4.7502000000000003E-2</v>
      </c>
    </row>
    <row r="25" spans="1:2">
      <c r="A25" t="s">
        <v>189</v>
      </c>
      <c r="B25">
        <v>3.2081999999999999E-2</v>
      </c>
    </row>
    <row r="26" spans="1:2">
      <c r="A26" t="s">
        <v>190</v>
      </c>
      <c r="B26">
        <v>-2.2270000000000002E-2</v>
      </c>
    </row>
    <row r="27" spans="1:2">
      <c r="A27" t="s">
        <v>191</v>
      </c>
      <c r="B27">
        <v>-4.6878999999999997E-2</v>
      </c>
    </row>
    <row r="28" spans="1:2">
      <c r="A28" t="s">
        <v>192</v>
      </c>
      <c r="B28">
        <v>2.4509E-2</v>
      </c>
    </row>
    <row r="29" spans="1:2">
      <c r="A29" t="s">
        <v>193</v>
      </c>
      <c r="B29">
        <v>-4.1338E-2</v>
      </c>
    </row>
    <row r="30" spans="1:2">
      <c r="A30" t="s">
        <v>194</v>
      </c>
      <c r="B30">
        <v>-4.6257E-2</v>
      </c>
    </row>
    <row r="31" spans="1:2">
      <c r="A31" t="s">
        <v>195</v>
      </c>
      <c r="B31">
        <v>5.1249999999999997E-2</v>
      </c>
    </row>
    <row r="32" spans="1:2">
      <c r="A32" t="s">
        <v>196</v>
      </c>
      <c r="B32">
        <v>-3.5434E-2</v>
      </c>
    </row>
    <row r="33" spans="1:2">
      <c r="A33" t="s">
        <v>197</v>
      </c>
      <c r="B33">
        <v>0.05</v>
      </c>
    </row>
    <row r="35" spans="1:2">
      <c r="A35" s="14" t="s">
        <v>198</v>
      </c>
    </row>
    <row r="36" spans="1:2">
      <c r="A36" t="s">
        <v>147</v>
      </c>
      <c r="B36">
        <v>-0.11064300000000001</v>
      </c>
    </row>
    <row r="37" spans="1:2">
      <c r="A37" t="s">
        <v>149</v>
      </c>
      <c r="B37">
        <v>-9.4715999999999995E-2</v>
      </c>
    </row>
    <row r="38" spans="1:2">
      <c r="A38" t="s">
        <v>151</v>
      </c>
      <c r="B38">
        <v>-2.3869999999999998E-3</v>
      </c>
    </row>
    <row r="39" spans="1:2">
      <c r="A39" t="s">
        <v>153</v>
      </c>
      <c r="B39">
        <v>-4.7521000000000001E-2</v>
      </c>
    </row>
    <row r="40" spans="1:2">
      <c r="A40" t="s">
        <v>155</v>
      </c>
      <c r="B40">
        <v>0.105043</v>
      </c>
    </row>
    <row r="41" spans="1:2">
      <c r="A41" t="s">
        <v>156</v>
      </c>
      <c r="B41">
        <v>-0.14682500000000001</v>
      </c>
    </row>
    <row r="42" spans="1:2">
      <c r="A42" t="s">
        <v>158</v>
      </c>
      <c r="B42">
        <v>1.7479999999999999E-2</v>
      </c>
    </row>
    <row r="43" spans="1:2">
      <c r="A43" t="s">
        <v>160</v>
      </c>
      <c r="B43">
        <v>8.7937000000000001E-2</v>
      </c>
    </row>
    <row r="44" spans="1:2">
      <c r="A44" t="s">
        <v>162</v>
      </c>
      <c r="B44">
        <v>-8.1839999999999996E-2</v>
      </c>
    </row>
    <row r="46" spans="1:2" ht="19">
      <c r="A46" s="3"/>
    </row>
    <row r="47" spans="1:2">
      <c r="A47" t="s">
        <v>199</v>
      </c>
      <c r="B47">
        <v>0.31106400000000001</v>
      </c>
    </row>
    <row r="48" spans="1:2">
      <c r="A48" t="s">
        <v>200</v>
      </c>
      <c r="B48">
        <v>0.409472</v>
      </c>
    </row>
    <row r="49" spans="1:2">
      <c r="A49" t="s">
        <v>201</v>
      </c>
      <c r="B49">
        <v>-0.19976099999999999</v>
      </c>
    </row>
    <row r="50" spans="1:2">
      <c r="A50" t="s">
        <v>202</v>
      </c>
      <c r="B50">
        <v>0.50475199999999998</v>
      </c>
    </row>
    <row r="51" spans="1:2">
      <c r="A51" t="s">
        <v>203</v>
      </c>
      <c r="B51">
        <v>-0.310504</v>
      </c>
    </row>
    <row r="52" spans="1:2">
      <c r="A52" t="s">
        <v>204</v>
      </c>
      <c r="B52">
        <v>0.21468200000000001</v>
      </c>
    </row>
    <row r="53" spans="1:2">
      <c r="A53" t="s">
        <v>205</v>
      </c>
      <c r="B53">
        <v>0.34825200000000001</v>
      </c>
    </row>
    <row r="54" spans="1:2">
      <c r="A54" t="s">
        <v>206</v>
      </c>
      <c r="B54">
        <v>-0.25879400000000002</v>
      </c>
    </row>
    <row r="55" spans="1:2">
      <c r="A55" t="s">
        <v>207</v>
      </c>
      <c r="B55">
        <v>-0.49181599999999998</v>
      </c>
    </row>
    <row r="57" spans="1:2">
      <c r="A57" t="s">
        <v>208</v>
      </c>
      <c r="B57">
        <v>0.51304899999999998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Forward_Propagation</vt:lpstr>
      <vt:lpstr>Backward_Propagation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Jihwan Kim</cp:lastModifiedBy>
  <dcterms:created xsi:type="dcterms:W3CDTF">2026-01-20T06:51:47Z</dcterms:created>
  <dcterms:modified xsi:type="dcterms:W3CDTF">2026-02-10T02:09:35Z</dcterms:modified>
</cp:coreProperties>
</file>