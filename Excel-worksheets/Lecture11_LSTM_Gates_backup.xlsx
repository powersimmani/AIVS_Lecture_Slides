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orward" sheetId="3" state="visible" r:id="rId3"/>
    <sheet xmlns:r="http://schemas.openxmlformats.org/officeDocument/2006/relationships" name="Gate_Visualization" sheetId="4" state="visible" r:id="rId4"/>
    <sheet xmlns:r="http://schemas.openxmlformats.org/officeDocument/2006/relationships" name="RNN_vs_LSTM" sheetId="5" state="visible" r:id="rId5"/>
    <sheet xmlns:r="http://schemas.openxmlformats.org/officeDocument/2006/relationships" name="Backward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CCCC"/>
        <bgColor rgb="00FFCCCC"/>
      </patternFill>
    </fill>
    <fill>
      <patternFill patternType="solid">
        <fgColor rgb="00FFB3B3"/>
        <bgColor rgb="00FFB3B3"/>
      </patternFill>
    </fill>
    <fill>
      <patternFill patternType="solid">
        <fgColor rgb="00FFFACD"/>
        <bgColor rgb="00FFFACD"/>
      </patternFill>
    </fill>
    <fill>
      <patternFill patternType="solid">
        <fgColor rgb="00B3FFB3"/>
        <bgColor rgb="00B3FFB3"/>
      </patternFill>
    </fill>
    <fill>
      <patternFill patternType="solid">
        <fgColor rgb="00D5A6BD"/>
        <bgColor rgb="00D5A6BD"/>
      </patternFill>
    </fill>
    <fill>
      <patternFill patternType="solid">
        <fgColor rgb="00B3B3FF"/>
        <bgColor rgb="00B3B3FF"/>
      </patternFill>
    </fill>
    <fill>
      <patternFill patternType="solid">
        <fgColor rgb="00FFD966"/>
        <bgColor rgb="00FFD966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D8E4BC"/>
        <bgColor rgb="00D8E4BC"/>
      </patternFill>
    </fill>
    <fill>
      <patternFill patternType="solid">
        <fgColor rgb="00CCFFCC"/>
        <bgColor rgb="00CC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0" fillId="2" borderId="0" pivotButton="0" quotePrefix="0" xfId="0"/>
    <xf numFmtId="0" fontId="1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1" t="inlineStr">
        <is>
          <t>LSTM (Long Short-Term Memory)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</row>
    <row r="3"/>
    <row r="4">
      <c r="B4" s="2" t="inlineStr">
        <is>
          <t>═══ RNN Problem: Vanishing Gradient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5"/>
    <row r="6">
      <c r="B6" t="inlineStr">
        <is>
          <t>• Gradient gets smaller in long sequences (vanishing)</t>
        </is>
      </c>
    </row>
    <row r="7">
      <c r="B7" t="inlineStr">
        <is>
          <t>• Difficult to remember distant past information</t>
        </is>
      </c>
    </row>
    <row r="8">
      <c r="B8" t="inlineStr">
        <is>
          <t>• Solution: LSTM's Cell State (long-term memory)</t>
        </is>
      </c>
    </row>
    <row r="9"/>
    <row r="10"/>
    <row r="11">
      <c r="B11" s="1" t="inlineStr">
        <is>
          <t>═══ LSTM Architecture ═══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4" t="n"/>
    </row>
    <row r="12"/>
    <row r="13">
      <c r="B13" s="5" t="inlineStr">
        <is>
          <t>Forget Gate (f_t)</t>
        </is>
      </c>
      <c r="F13" t="inlineStr">
        <is>
          <t>Decide what to forget</t>
        </is>
      </c>
      <c r="L13" s="6" t="inlineStr">
        <is>
          <t>σ(W_f·[h_{t-1}, x_t] + b_f)</t>
        </is>
      </c>
    </row>
    <row r="14">
      <c r="B14" s="7" t="inlineStr">
        <is>
          <t>Input Gate (i_t)</t>
        </is>
      </c>
      <c r="F14" t="inlineStr">
        <is>
          <t>What to store from new information</t>
        </is>
      </c>
      <c r="L14" s="6" t="inlineStr">
        <is>
          <t>σ(W_i·[h_{t-1}, x_t] + b_i)</t>
        </is>
      </c>
    </row>
    <row r="15">
      <c r="B15" s="8" t="inlineStr">
        <is>
          <t>Candidate (c̃_t)</t>
        </is>
      </c>
      <c r="F15" t="inlineStr">
        <is>
          <t>New candidate information</t>
        </is>
      </c>
      <c r="L15" s="6" t="inlineStr">
        <is>
          <t>tanh(W_c·[h_{t-1}, x_t] + b_c)</t>
        </is>
      </c>
    </row>
    <row r="16">
      <c r="B16" s="9" t="inlineStr">
        <is>
          <t>Output Gate (o_t)</t>
        </is>
      </c>
      <c r="F16" t="inlineStr">
        <is>
          <t>Decide what to output</t>
        </is>
      </c>
      <c r="L16" s="6" t="inlineStr">
        <is>
          <t>σ(W_o·[h_{t-1}, x_t] + b_o)</t>
        </is>
      </c>
    </row>
    <row r="17"/>
    <row r="18"/>
    <row r="19">
      <c r="B19" s="1" t="inlineStr">
        <is>
          <t>═══ State Updates ═══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4" t="n"/>
    </row>
    <row r="20"/>
    <row r="21">
      <c r="B21" s="10" t="inlineStr">
        <is>
          <t>Cell State (c_t)</t>
        </is>
      </c>
      <c r="F21" t="inlineStr">
        <is>
          <t>Long-term memory</t>
        </is>
      </c>
      <c r="L21" s="6" t="inlineStr">
        <is>
          <t>c_t = f_t ⊙ c_{t-1} + i_t ⊙ c̃_t</t>
        </is>
      </c>
    </row>
    <row r="22">
      <c r="B22" s="11" t="inlineStr">
        <is>
          <t>Hidden State (h_t)</t>
        </is>
      </c>
      <c r="F22" t="inlineStr">
        <is>
          <t>Short-term memory / Output</t>
        </is>
      </c>
      <c r="L22" s="6" t="inlineStr">
        <is>
          <t>h_t = o_t ⊙ tanh(c_t)</t>
        </is>
      </c>
    </row>
    <row r="23"/>
    <row r="24"/>
    <row r="25">
      <c r="B25" s="1" t="inlineStr">
        <is>
          <t>═══ LSTM Cell Diagram ═══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4" t="n"/>
    </row>
    <row r="26"/>
    <row r="27">
      <c r="D27" s="12" t="inlineStr">
        <is>
          <t>c_{t-1}</t>
        </is>
      </c>
      <c r="E27" s="13" t="inlineStr">
        <is>
          <t>───────────────→</t>
        </is>
      </c>
      <c r="H27" s="14" t="inlineStr">
        <is>
          <t>×f_t</t>
        </is>
      </c>
      <c r="I27" s="13" t="inlineStr">
        <is>
          <t>──→</t>
        </is>
      </c>
      <c r="J27" s="13" t="inlineStr">
        <is>
          <t>+</t>
        </is>
      </c>
      <c r="K27" s="13" t="inlineStr">
        <is>
          <t>──→</t>
        </is>
      </c>
      <c r="L27" s="12" t="inlineStr">
        <is>
          <t>c_t</t>
        </is>
      </c>
    </row>
    <row r="28">
      <c r="J28" s="13" t="inlineStr">
        <is>
          <t>↑</t>
        </is>
      </c>
    </row>
    <row r="29">
      <c r="H29" s="15" t="inlineStr">
        <is>
          <t>i_t</t>
        </is>
      </c>
      <c r="I29" s="13" t="inlineStr">
        <is>
          <t>×</t>
        </is>
      </c>
      <c r="J29" s="16" t="inlineStr">
        <is>
          <t>c̃_t</t>
        </is>
      </c>
    </row>
    <row r="30"/>
    <row r="31">
      <c r="D31" s="17" t="inlineStr">
        <is>
          <t>h_{t-1}</t>
        </is>
      </c>
      <c r="E31" s="13" t="inlineStr">
        <is>
          <t>──→</t>
        </is>
      </c>
      <c r="F31" s="18" t="inlineStr">
        <is>
          <t>[concat]</t>
        </is>
      </c>
      <c r="G31" s="13" t="inlineStr">
        <is>
          <t>──→</t>
        </is>
      </c>
      <c r="H31" s="19" t="inlineStr">
        <is>
          <t>Gates</t>
        </is>
      </c>
    </row>
    <row r="32">
      <c r="D32" s="20" t="inlineStr">
        <is>
          <t>x_t</t>
        </is>
      </c>
      <c r="E32" s="13" t="inlineStr">
        <is>
          <t>──↗</t>
        </is>
      </c>
    </row>
    <row r="33"/>
    <row r="34">
      <c r="J34" s="12" t="inlineStr">
        <is>
          <t>tanh(c_t)</t>
        </is>
      </c>
      <c r="K34" s="13" t="inlineStr">
        <is>
          <t>×</t>
        </is>
      </c>
      <c r="L34" s="21" t="inlineStr">
        <is>
          <t>o_t</t>
        </is>
      </c>
      <c r="M34" s="13" t="inlineStr">
        <is>
          <t>=</t>
        </is>
      </c>
      <c r="N34" s="17" t="inlineStr">
        <is>
          <t>h_t</t>
        </is>
      </c>
    </row>
    <row r="35"/>
    <row r="36"/>
    <row r="37">
      <c r="B37" s="22" t="inlineStr">
        <is>
          <t>Input: 'this movie is good' (y_true = 1)</t>
        </is>
      </c>
    </row>
    <row r="38">
      <c r="B38" s="23" t="inlineStr">
        <is>
          <t>Embedding dim: 4, Hidden dim: 3</t>
        </is>
      </c>
    </row>
  </sheetData>
  <mergeCells count="5">
    <mergeCell ref="B11:T11"/>
    <mergeCell ref="B25:T25"/>
    <mergeCell ref="B19:T19"/>
    <mergeCell ref="B2:AE2"/>
    <mergeCell ref="B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/>
    <row r="2">
      <c r="B2" s="1" t="inlineStr">
        <is>
          <t>LSTM Parameters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24" t="inlineStr">
        <is>
          <t>═══ Embedding ═══</t>
        </is>
      </c>
      <c r="C4" s="3" t="n"/>
      <c r="D4" s="3" t="n"/>
      <c r="E4" s="3" t="n"/>
      <c r="F4" s="3" t="n"/>
      <c r="G4" s="3" t="n"/>
      <c r="H4" s="3" t="n"/>
      <c r="I4" s="3" t="n"/>
      <c r="J4" s="4" t="n"/>
    </row>
    <row r="5"/>
    <row r="6">
      <c r="B6" s="25" t="inlineStr">
        <is>
          <t>this</t>
        </is>
      </c>
      <c r="D6" s="20" t="n">
        <v>0.2</v>
      </c>
      <c r="E6" s="20" t="n">
        <v>0.1</v>
      </c>
      <c r="F6" s="20" t="n">
        <v>-0.1</v>
      </c>
      <c r="G6" s="20" t="n">
        <v>0.3</v>
      </c>
    </row>
    <row r="7">
      <c r="B7" s="25" t="inlineStr">
        <is>
          <t>movie</t>
        </is>
      </c>
      <c r="D7" s="20" t="n">
        <v>0.5</v>
      </c>
      <c r="E7" s="20" t="n">
        <v>0.3</v>
      </c>
      <c r="F7" s="20" t="n">
        <v>0.2</v>
      </c>
      <c r="G7" s="20" t="n">
        <v>-0.1</v>
      </c>
    </row>
    <row r="8">
      <c r="B8" s="25" t="inlineStr">
        <is>
          <t>is</t>
        </is>
      </c>
      <c r="D8" s="20" t="n">
        <v>-0.1</v>
      </c>
      <c r="E8" s="20" t="n">
        <v>0.2</v>
      </c>
      <c r="F8" s="20" t="n">
        <v>0.1</v>
      </c>
      <c r="G8" s="20" t="n">
        <v>0.1</v>
      </c>
    </row>
    <row r="9">
      <c r="B9" s="25" t="inlineStr">
        <is>
          <t>good</t>
        </is>
      </c>
      <c r="D9" s="20" t="n">
        <v>0.6</v>
      </c>
      <c r="E9" s="20" t="n">
        <v>0.5</v>
      </c>
      <c r="F9" s="20" t="n">
        <v>0.4</v>
      </c>
      <c r="G9" s="20" t="n">
        <v>0.3</v>
      </c>
    </row>
    <row r="10"/>
    <row r="11"/>
    <row r="12">
      <c r="B12" s="5" t="inlineStr">
        <is>
          <t>═══ Forget Gate (W_f, b_f) ═══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/>
    <row r="14">
      <c r="B14" s="5" t="inlineStr">
        <is>
          <t>W (3×7):</t>
        </is>
      </c>
    </row>
    <row r="15">
      <c r="B15" s="18" t="inlineStr">
        <is>
          <t>h[0]</t>
        </is>
      </c>
      <c r="C15" s="18" t="inlineStr">
        <is>
          <t>h[1]</t>
        </is>
      </c>
      <c r="D15" s="18" t="inlineStr">
        <is>
          <t>h[2]</t>
        </is>
      </c>
      <c r="E15" s="18" t="inlineStr">
        <is>
          <t>x[0]</t>
        </is>
      </c>
      <c r="F15" s="18" t="inlineStr">
        <is>
          <t>x[1]</t>
        </is>
      </c>
      <c r="G15" s="18" t="inlineStr">
        <is>
          <t>x[2]</t>
        </is>
      </c>
      <c r="H15" s="18" t="inlineStr">
        <is>
          <t>x[3]</t>
        </is>
      </c>
    </row>
    <row r="16">
      <c r="B16" s="14" t="n">
        <v>0.2</v>
      </c>
      <c r="C16" s="14" t="n">
        <v>-0.1</v>
      </c>
      <c r="D16" s="14" t="n">
        <v>0.1</v>
      </c>
      <c r="E16" s="14" t="n">
        <v>0.3</v>
      </c>
      <c r="F16" s="14" t="n">
        <v>-0.2</v>
      </c>
      <c r="G16" s="14" t="n">
        <v>0.1</v>
      </c>
      <c r="H16" s="14" t="n">
        <v>0.2</v>
      </c>
    </row>
    <row r="17">
      <c r="B17" s="14" t="n">
        <v>0.1</v>
      </c>
      <c r="C17" s="14" t="n">
        <v>0.3</v>
      </c>
      <c r="D17" s="14" t="n">
        <v>-0.2</v>
      </c>
      <c r="E17" s="14" t="n">
        <v>-0.1</v>
      </c>
      <c r="F17" s="14" t="n">
        <v>0.2</v>
      </c>
      <c r="G17" s="14" t="n">
        <v>0.3</v>
      </c>
      <c r="H17" s="14" t="n">
        <v>-0.1</v>
      </c>
    </row>
    <row r="18">
      <c r="B18" s="14" t="n">
        <v>-0.1</v>
      </c>
      <c r="C18" s="14" t="n">
        <v>0.2</v>
      </c>
      <c r="D18" s="14" t="n">
        <v>0.2</v>
      </c>
      <c r="E18" s="14" t="n">
        <v>0.1</v>
      </c>
      <c r="F18" s="14" t="n">
        <v>0.1</v>
      </c>
      <c r="G18" s="14" t="n">
        <v>-0.2</v>
      </c>
      <c r="H18" s="14" t="n">
        <v>0.3</v>
      </c>
    </row>
    <row r="19"/>
    <row r="20">
      <c r="B20" s="5" t="inlineStr">
        <is>
          <t>b:</t>
        </is>
      </c>
      <c r="D20" s="14" t="n">
        <v>0.5</v>
      </c>
      <c r="E20" s="14" t="n">
        <v>0.5</v>
      </c>
      <c r="F20" s="14" t="n">
        <v>0.5</v>
      </c>
    </row>
    <row r="21"/>
    <row r="22">
      <c r="B22" s="7" t="inlineStr">
        <is>
          <t>═══ Input Gate (W_i, b_i) ═══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4" t="n"/>
    </row>
    <row r="23"/>
    <row r="24">
      <c r="B24" s="7" t="inlineStr">
        <is>
          <t>W (3×7):</t>
        </is>
      </c>
    </row>
    <row r="25">
      <c r="B25" s="18" t="inlineStr">
        <is>
          <t>h[0]</t>
        </is>
      </c>
      <c r="C25" s="18" t="inlineStr">
        <is>
          <t>h[1]</t>
        </is>
      </c>
      <c r="D25" s="18" t="inlineStr">
        <is>
          <t>h[2]</t>
        </is>
      </c>
      <c r="E25" s="18" t="inlineStr">
        <is>
          <t>x[0]</t>
        </is>
      </c>
      <c r="F25" s="18" t="inlineStr">
        <is>
          <t>x[1]</t>
        </is>
      </c>
      <c r="G25" s="18" t="inlineStr">
        <is>
          <t>x[2]</t>
        </is>
      </c>
      <c r="H25" s="18" t="inlineStr">
        <is>
          <t>x[3]</t>
        </is>
      </c>
    </row>
    <row r="26">
      <c r="B26" s="15" t="n">
        <v>0.3</v>
      </c>
      <c r="C26" s="15" t="n">
        <v>-0.2</v>
      </c>
      <c r="D26" s="15" t="n">
        <v>0.1</v>
      </c>
      <c r="E26" s="15" t="n">
        <v>0.2</v>
      </c>
      <c r="F26" s="15" t="n">
        <v>0.1</v>
      </c>
      <c r="G26" s="15" t="n">
        <v>-0.1</v>
      </c>
      <c r="H26" s="15" t="n">
        <v>0.3</v>
      </c>
    </row>
    <row r="27">
      <c r="B27" s="15" t="n">
        <v>-0.1</v>
      </c>
      <c r="C27" s="15" t="n">
        <v>0.2</v>
      </c>
      <c r="D27" s="15" t="n">
        <v>0.3</v>
      </c>
      <c r="E27" s="15" t="n">
        <v>0.1</v>
      </c>
      <c r="F27" s="15" t="n">
        <v>-0.2</v>
      </c>
      <c r="G27" s="15" t="n">
        <v>0.2</v>
      </c>
      <c r="H27" s="15" t="n">
        <v>0.1</v>
      </c>
    </row>
    <row r="28">
      <c r="B28" s="15" t="n">
        <v>0.2</v>
      </c>
      <c r="C28" s="15" t="n">
        <v>0.1</v>
      </c>
      <c r="D28" s="15" t="n">
        <v>-0.1</v>
      </c>
      <c r="E28" s="15" t="n">
        <v>0.3</v>
      </c>
      <c r="F28" s="15" t="n">
        <v>0.2</v>
      </c>
      <c r="G28" s="15" t="n">
        <v>0.1</v>
      </c>
      <c r="H28" s="15" t="n">
        <v>-0.2</v>
      </c>
    </row>
    <row r="29"/>
    <row r="30">
      <c r="B30" s="7" t="inlineStr">
        <is>
          <t>b:</t>
        </is>
      </c>
      <c r="D30" s="15" t="n">
        <v>0</v>
      </c>
      <c r="E30" s="15" t="n">
        <v>0</v>
      </c>
      <c r="F30" s="15" t="n">
        <v>0</v>
      </c>
    </row>
    <row r="31"/>
    <row r="32">
      <c r="B32" s="8" t="inlineStr">
        <is>
          <t>═══ Candidate (W_c, b_c) ═══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4" t="n"/>
    </row>
    <row r="33"/>
    <row r="34">
      <c r="B34" s="8" t="inlineStr">
        <is>
          <t>W (3×7):</t>
        </is>
      </c>
    </row>
    <row r="35">
      <c r="B35" s="18" t="inlineStr">
        <is>
          <t>h[0]</t>
        </is>
      </c>
      <c r="C35" s="18" t="inlineStr">
        <is>
          <t>h[1]</t>
        </is>
      </c>
      <c r="D35" s="18" t="inlineStr">
        <is>
          <t>h[2]</t>
        </is>
      </c>
      <c r="E35" s="18" t="inlineStr">
        <is>
          <t>x[0]</t>
        </is>
      </c>
      <c r="F35" s="18" t="inlineStr">
        <is>
          <t>x[1]</t>
        </is>
      </c>
      <c r="G35" s="18" t="inlineStr">
        <is>
          <t>x[2]</t>
        </is>
      </c>
      <c r="H35" s="18" t="inlineStr">
        <is>
          <t>x[3]</t>
        </is>
      </c>
    </row>
    <row r="36">
      <c r="B36" s="16" t="n">
        <v>0.1</v>
      </c>
      <c r="C36" s="16" t="n">
        <v>0.2</v>
      </c>
      <c r="D36" s="16" t="n">
        <v>-0.1</v>
      </c>
      <c r="E36" s="16" t="n">
        <v>0.2</v>
      </c>
      <c r="F36" s="16" t="n">
        <v>-0.1</v>
      </c>
      <c r="G36" s="16" t="n">
        <v>0.3</v>
      </c>
      <c r="H36" s="16" t="n">
        <v>0.1</v>
      </c>
    </row>
    <row r="37">
      <c r="B37" s="16" t="n">
        <v>0.2</v>
      </c>
      <c r="C37" s="16" t="n">
        <v>-0.1</v>
      </c>
      <c r="D37" s="16" t="n">
        <v>0.2</v>
      </c>
      <c r="E37" s="16" t="n">
        <v>0.1</v>
      </c>
      <c r="F37" s="16" t="n">
        <v>0.2</v>
      </c>
      <c r="G37" s="16" t="n">
        <v>-0.2</v>
      </c>
      <c r="H37" s="16" t="n">
        <v>0.2</v>
      </c>
    </row>
    <row r="38">
      <c r="B38" s="16" t="n">
        <v>-0.1</v>
      </c>
      <c r="C38" s="16" t="n">
        <v>0.3</v>
      </c>
      <c r="D38" s="16" t="n">
        <v>0.1</v>
      </c>
      <c r="E38" s="16" t="n">
        <v>-0.2</v>
      </c>
      <c r="F38" s="16" t="n">
        <v>0.1</v>
      </c>
      <c r="G38" s="16" t="n">
        <v>0.2</v>
      </c>
      <c r="H38" s="16" t="n">
        <v>-0.1</v>
      </c>
    </row>
    <row r="39"/>
    <row r="40">
      <c r="B40" s="8" t="inlineStr">
        <is>
          <t>b:</t>
        </is>
      </c>
      <c r="D40" s="16" t="n">
        <v>0</v>
      </c>
      <c r="E40" s="16" t="n">
        <v>0</v>
      </c>
      <c r="F40" s="16" t="n">
        <v>0</v>
      </c>
    </row>
    <row r="41"/>
    <row r="42">
      <c r="B42" s="9" t="inlineStr">
        <is>
          <t>═══ Output Gate (W_o, b_o) ═══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4" t="n"/>
    </row>
    <row r="43"/>
    <row r="44">
      <c r="B44" s="9" t="inlineStr">
        <is>
          <t>W (3×7):</t>
        </is>
      </c>
    </row>
    <row r="45">
      <c r="B45" s="18" t="inlineStr">
        <is>
          <t>h[0]</t>
        </is>
      </c>
      <c r="C45" s="18" t="inlineStr">
        <is>
          <t>h[1]</t>
        </is>
      </c>
      <c r="D45" s="18" t="inlineStr">
        <is>
          <t>h[2]</t>
        </is>
      </c>
      <c r="E45" s="18" t="inlineStr">
        <is>
          <t>x[0]</t>
        </is>
      </c>
      <c r="F45" s="18" t="inlineStr">
        <is>
          <t>x[1]</t>
        </is>
      </c>
      <c r="G45" s="18" t="inlineStr">
        <is>
          <t>x[2]</t>
        </is>
      </c>
      <c r="H45" s="18" t="inlineStr">
        <is>
          <t>x[3]</t>
        </is>
      </c>
    </row>
    <row r="46">
      <c r="B46" s="21" t="n">
        <v>0.2</v>
      </c>
      <c r="C46" s="21" t="n">
        <v>0.1</v>
      </c>
      <c r="D46" s="21" t="n">
        <v>-0.2</v>
      </c>
      <c r="E46" s="21" t="n">
        <v>0.1</v>
      </c>
      <c r="F46" s="21" t="n">
        <v>0.2</v>
      </c>
      <c r="G46" s="21" t="n">
        <v>-0.1</v>
      </c>
      <c r="H46" s="21" t="n">
        <v>0.2</v>
      </c>
    </row>
    <row r="47">
      <c r="B47" s="21" t="n">
        <v>-0.1</v>
      </c>
      <c r="C47" s="21" t="n">
        <v>0.2</v>
      </c>
      <c r="D47" s="21" t="n">
        <v>0.1</v>
      </c>
      <c r="E47" s="21" t="n">
        <v>0.2</v>
      </c>
      <c r="F47" s="21" t="n">
        <v>-0.1</v>
      </c>
      <c r="G47" s="21" t="n">
        <v>0.2</v>
      </c>
      <c r="H47" s="21" t="n">
        <v>0.1</v>
      </c>
    </row>
    <row r="48">
      <c r="B48" s="21" t="n">
        <v>0.1</v>
      </c>
      <c r="C48" s="21" t="n">
        <v>-0.1</v>
      </c>
      <c r="D48" s="21" t="n">
        <v>0.2</v>
      </c>
      <c r="E48" s="21" t="n">
        <v>-0.1</v>
      </c>
      <c r="F48" s="21" t="n">
        <v>0.3</v>
      </c>
      <c r="G48" s="21" t="n">
        <v>0.1</v>
      </c>
      <c r="H48" s="21" t="n">
        <v>-0.2</v>
      </c>
    </row>
    <row r="49"/>
    <row r="50">
      <c r="B50" s="9" t="inlineStr">
        <is>
          <t>b:</t>
        </is>
      </c>
      <c r="D50" s="21" t="n">
        <v>0</v>
      </c>
      <c r="E50" s="21" t="n">
        <v>0</v>
      </c>
      <c r="F50" s="21" t="n">
        <v>0</v>
      </c>
    </row>
    <row r="51"/>
    <row r="52">
      <c r="B52" s="26" t="inlineStr">
        <is>
          <t>═══ Output Layer ═══</t>
        </is>
      </c>
      <c r="C52" s="3" t="n"/>
      <c r="D52" s="3" t="n"/>
      <c r="E52" s="3" t="n"/>
      <c r="F52" s="3" t="n"/>
      <c r="G52" s="3" t="n"/>
      <c r="H52" s="3" t="n"/>
      <c r="I52" s="3" t="n"/>
      <c r="J52" s="4" t="n"/>
    </row>
    <row r="53"/>
    <row r="54">
      <c r="B54" s="27" t="inlineStr">
        <is>
          <t>W_hy:</t>
        </is>
      </c>
      <c r="D54" s="27" t="n">
        <v>0.5</v>
      </c>
      <c r="E54" s="27" t="n">
        <v>-0.3</v>
      </c>
      <c r="F54" s="27" t="n">
        <v>0.4</v>
      </c>
      <c r="H54" s="27" t="inlineStr">
        <is>
          <t>b_y:</t>
        </is>
      </c>
      <c r="I54" s="27" t="n">
        <v>0.1</v>
      </c>
    </row>
  </sheetData>
  <mergeCells count="7">
    <mergeCell ref="B22:N22"/>
    <mergeCell ref="B32:N32"/>
    <mergeCell ref="B12:N12"/>
    <mergeCell ref="B2:AH2"/>
    <mergeCell ref="B4:J4"/>
    <mergeCell ref="B52:J52"/>
    <mergeCell ref="B42:N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</cols>
  <sheetData>
    <row r="1"/>
    <row r="2">
      <c r="B2" s="28" t="inlineStr">
        <is>
          <t>LSTM Forward Pass (Detailed)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1" t="inlineStr">
        <is>
          <t>═══ LSTM Equations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4" t="n"/>
    </row>
    <row r="5"/>
    <row r="6">
      <c r="B6" s="5" t="inlineStr">
        <is>
          <t>Forget Gate</t>
        </is>
      </c>
      <c r="E6" s="29" t="inlineStr">
        <is>
          <t>f_t = σ(W_f·[h_{t-1}, x_t] + b_f)</t>
        </is>
      </c>
    </row>
    <row r="7">
      <c r="B7" s="7" t="inlineStr">
        <is>
          <t>Input Gate</t>
        </is>
      </c>
      <c r="E7" s="30" t="inlineStr">
        <is>
          <t>i_t = σ(W_i·[h_{t-1}, x_t] + b_i)</t>
        </is>
      </c>
    </row>
    <row r="8">
      <c r="B8" s="8" t="inlineStr">
        <is>
          <t>Candidate</t>
        </is>
      </c>
      <c r="E8" s="31" t="inlineStr">
        <is>
          <t>c̃_t = tanh(W_c·[h_{t-1}, x_t] + b_c)</t>
        </is>
      </c>
    </row>
    <row r="9">
      <c r="B9" s="9" t="inlineStr">
        <is>
          <t>Output Gate</t>
        </is>
      </c>
      <c r="E9" s="32" t="inlineStr">
        <is>
          <t>o_t = σ(W_o·[h_{t-1}, x_t] + b_o)</t>
        </is>
      </c>
    </row>
    <row r="10">
      <c r="B10" s="10" t="inlineStr">
        <is>
          <t>Cell State</t>
        </is>
      </c>
      <c r="E10" s="33" t="inlineStr">
        <is>
          <t>c_t = f_t ⊙ c_{t-1} + i_t ⊙ c̃_t</t>
        </is>
      </c>
    </row>
    <row r="11">
      <c r="B11" s="11" t="inlineStr">
        <is>
          <t>Hidden State</t>
        </is>
      </c>
      <c r="E11" s="34" t="inlineStr">
        <is>
          <t>h_t = o_t ⊙ tanh(c_t)</t>
        </is>
      </c>
    </row>
    <row r="12"/>
    <row r="13"/>
    <row r="14">
      <c r="B14" s="22" t="inlineStr">
        <is>
          <t>═══ t=0: 'this' ═══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4" t="n"/>
    </row>
    <row r="15"/>
    <row r="16">
      <c r="B16" s="24" t="inlineStr">
        <is>
          <t>x_t =</t>
        </is>
      </c>
      <c r="D16" s="20" t="n">
        <v>0.2</v>
      </c>
      <c r="E16" s="20" t="n">
        <v>0.1</v>
      </c>
      <c r="F16" s="20" t="n">
        <v>-0.1</v>
      </c>
      <c r="G16" s="20" t="n">
        <v>0.3</v>
      </c>
    </row>
    <row r="17">
      <c r="B17" s="11" t="inlineStr">
        <is>
          <t>h_{t-1} =</t>
        </is>
      </c>
      <c r="D17" s="17" t="n">
        <v>0</v>
      </c>
      <c r="E17" s="17" t="n">
        <v>0</v>
      </c>
      <c r="F17" s="17" t="n">
        <v>0</v>
      </c>
    </row>
    <row r="18">
      <c r="B18" s="10" t="inlineStr">
        <is>
          <t>c_{t-1} =</t>
        </is>
      </c>
      <c r="D18" s="12" t="n">
        <v>0</v>
      </c>
      <c r="E18" s="12" t="n">
        <v>0</v>
      </c>
      <c r="F18" s="12" t="n">
        <v>0</v>
      </c>
    </row>
    <row r="19"/>
    <row r="20">
      <c r="B20" s="18" t="inlineStr">
        <is>
          <t>[h_{t-1}, x_t] =</t>
        </is>
      </c>
      <c r="E20" s="18" t="n">
        <v>0</v>
      </c>
      <c r="F20" s="18" t="n">
        <v>0</v>
      </c>
      <c r="G20" s="18" t="n">
        <v>0</v>
      </c>
      <c r="H20" s="18" t="n">
        <v>0.2</v>
      </c>
      <c r="I20" s="18" t="n">
        <v>0.1</v>
      </c>
      <c r="J20" s="18" t="n">
        <v>-0.1</v>
      </c>
      <c r="K20" s="18" t="n">
        <v>0.3</v>
      </c>
    </row>
    <row r="21"/>
    <row r="22">
      <c r="B22" s="5" t="inlineStr">
        <is>
          <t>① Forget Gate f_t = σ(...):</t>
        </is>
      </c>
    </row>
    <row r="23">
      <c r="B23" s="14" t="inlineStr">
        <is>
          <t xml:space="preserve">  [0]</t>
        </is>
      </c>
      <c r="D23" s="14">
        <f> 0.6434</f>
        <v/>
      </c>
    </row>
    <row r="24">
      <c r="B24" s="14" t="inlineStr">
        <is>
          <t xml:space="preserve">  [1]</t>
        </is>
      </c>
      <c r="D24" s="14">
        <f> 0.6083</f>
        <v/>
      </c>
    </row>
    <row r="25">
      <c r="B25" s="14" t="inlineStr">
        <is>
          <t xml:space="preserve">  [2]</t>
        </is>
      </c>
      <c r="D25" s="14">
        <f> 0.6548</f>
        <v/>
      </c>
    </row>
    <row r="26"/>
    <row r="27">
      <c r="B27" s="7" t="inlineStr">
        <is>
          <t>② Input Gate i_t = σ(...):</t>
        </is>
      </c>
    </row>
    <row r="28">
      <c r="B28" s="15" t="inlineStr">
        <is>
          <t xml:space="preserve">  [0]</t>
        </is>
      </c>
      <c r="D28" s="15">
        <f> 0.5374</f>
        <v/>
      </c>
    </row>
    <row r="29">
      <c r="B29" s="15" t="inlineStr">
        <is>
          <t xml:space="preserve">  [1]</t>
        </is>
      </c>
      <c r="D29" s="15">
        <f> 0.5025</f>
        <v/>
      </c>
    </row>
    <row r="30">
      <c r="B30" s="15" t="inlineStr">
        <is>
          <t xml:space="preserve">  [2]</t>
        </is>
      </c>
      <c r="D30" s="15">
        <f> 0.5025</f>
        <v/>
      </c>
    </row>
    <row r="31"/>
    <row r="32">
      <c r="B32" s="8" t="inlineStr">
        <is>
          <t>③ Candidate c̃_t = tanh(...):</t>
        </is>
      </c>
    </row>
    <row r="33">
      <c r="B33" s="16" t="inlineStr">
        <is>
          <t xml:space="preserve">  [0]</t>
        </is>
      </c>
      <c r="D33" s="16">
        <f> 0.03</f>
        <v/>
      </c>
    </row>
    <row r="34">
      <c r="B34" s="16" t="inlineStr">
        <is>
          <t xml:space="preserve">  [1]</t>
        </is>
      </c>
      <c r="D34" s="16">
        <f> 0.1194</f>
        <v/>
      </c>
    </row>
    <row r="35">
      <c r="B35" s="16" t="inlineStr">
        <is>
          <t xml:space="preserve">  [2]</t>
        </is>
      </c>
      <c r="D35" s="16">
        <f> -0.0798</f>
        <v/>
      </c>
    </row>
    <row r="36"/>
    <row r="37">
      <c r="B37" s="9" t="inlineStr">
        <is>
          <t>④ Output Gate o_t = σ(...):</t>
        </is>
      </c>
    </row>
    <row r="38">
      <c r="B38" s="21" t="inlineStr">
        <is>
          <t xml:space="preserve">  [0]</t>
        </is>
      </c>
      <c r="D38" s="21">
        <f> 0.5275</f>
        <v/>
      </c>
    </row>
    <row r="39">
      <c r="B39" s="21" t="inlineStr">
        <is>
          <t xml:space="preserve">  [1]</t>
        </is>
      </c>
      <c r="D39" s="21">
        <f> 0.51</f>
        <v/>
      </c>
    </row>
    <row r="40">
      <c r="B40" s="21" t="inlineStr">
        <is>
          <t xml:space="preserve">  [2]</t>
        </is>
      </c>
      <c r="D40" s="21">
        <f> 0.485</f>
        <v/>
      </c>
    </row>
    <row r="41"/>
    <row r="42">
      <c r="B42" s="10" t="inlineStr">
        <is>
          <t>⑤ Cell State c_t = f_t ⊙ c_{t-1} + i_t ⊙ c̃_t:</t>
        </is>
      </c>
    </row>
    <row r="43">
      <c r="B43" s="12" t="inlineStr">
        <is>
          <t xml:space="preserve">  c[0]</t>
        </is>
      </c>
      <c r="D43">
        <f> 0.6434×0.0 + 0.5374×0.03</f>
        <v/>
      </c>
      <c r="N43" s="12">
        <f> 0.0161</f>
        <v/>
      </c>
    </row>
    <row r="44">
      <c r="B44" s="12" t="inlineStr">
        <is>
          <t xml:space="preserve">  c[1]</t>
        </is>
      </c>
      <c r="D44">
        <f> 0.6083×0.0 + 0.5025×0.1194</f>
        <v/>
      </c>
      <c r="N44" s="12">
        <f> 0.06</f>
        <v/>
      </c>
    </row>
    <row r="45">
      <c r="B45" s="12" t="inlineStr">
        <is>
          <t xml:space="preserve">  c[2]</t>
        </is>
      </c>
      <c r="D45">
        <f> 0.6548×0.0 + 0.5025×-0.0798</f>
        <v/>
      </c>
      <c r="N45" s="12">
        <f> -0.0401</f>
        <v/>
      </c>
    </row>
    <row r="46"/>
    <row r="47">
      <c r="B47" s="11" t="inlineStr">
        <is>
          <t>⑥ Hidden State h_t = o_t ⊙ tanh(c_t):</t>
        </is>
      </c>
    </row>
    <row r="48">
      <c r="B48" s="17" t="inlineStr">
        <is>
          <t xml:space="preserve">  h[0]</t>
        </is>
      </c>
      <c r="D48">
        <f> 0.5275 × tanh(0.0161)</f>
        <v/>
      </c>
      <c r="L48">
        <f> 0.5275 × 0.0161</f>
        <v/>
      </c>
      <c r="R48" s="17">
        <f> 0.0085</f>
        <v/>
      </c>
    </row>
    <row r="49">
      <c r="B49" s="17" t="inlineStr">
        <is>
          <t xml:space="preserve">  h[1]</t>
        </is>
      </c>
      <c r="D49">
        <f> 0.51 × tanh(0.06)</f>
        <v/>
      </c>
      <c r="L49">
        <f> 0.51 × 0.0599</f>
        <v/>
      </c>
      <c r="R49" s="17">
        <f> 0.0306</f>
        <v/>
      </c>
    </row>
    <row r="50">
      <c r="B50" s="17" t="inlineStr">
        <is>
          <t xml:space="preserve">  h[2]</t>
        </is>
      </c>
      <c r="D50">
        <f> 0.485 × tanh(-0.0401)</f>
        <v/>
      </c>
      <c r="L50">
        <f> 0.485 × -0.0401</f>
        <v/>
      </c>
      <c r="R50" s="17">
        <f> -0.0194</f>
        <v/>
      </c>
    </row>
    <row r="51"/>
    <row r="52"/>
    <row r="53">
      <c r="B53" s="10" t="inlineStr">
        <is>
          <t>→ c_t =</t>
        </is>
      </c>
      <c r="E53" s="12" t="n">
        <v>0.0161</v>
      </c>
      <c r="F53" s="12" t="n">
        <v>0.06</v>
      </c>
      <c r="G53" s="12" t="n">
        <v>-0.0401</v>
      </c>
    </row>
    <row r="54">
      <c r="B54" s="11" t="inlineStr">
        <is>
          <t>→ h_t =</t>
        </is>
      </c>
      <c r="E54" s="17" t="n">
        <v>0.008500000000000001</v>
      </c>
      <c r="F54" s="17" t="n">
        <v>0.0306</v>
      </c>
      <c r="G54" s="17" t="n">
        <v>-0.0194</v>
      </c>
    </row>
    <row r="55"/>
    <row r="56"/>
    <row r="57">
      <c r="B57" s="22" t="inlineStr">
        <is>
          <t>═══ t=1: 'movie' ═══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4" t="n"/>
    </row>
    <row r="58"/>
    <row r="59">
      <c r="B59" s="24" t="inlineStr">
        <is>
          <t>x_t =</t>
        </is>
      </c>
      <c r="D59" s="20" t="n">
        <v>0.5</v>
      </c>
      <c r="E59" s="20" t="n">
        <v>0.3</v>
      </c>
      <c r="F59" s="20" t="n">
        <v>0.2</v>
      </c>
      <c r="G59" s="20" t="n">
        <v>-0.1</v>
      </c>
    </row>
    <row r="60">
      <c r="B60" s="11" t="inlineStr">
        <is>
          <t>h_{t-1} =</t>
        </is>
      </c>
      <c r="D60" s="17" t="n">
        <v>0.008500000000000001</v>
      </c>
      <c r="E60" s="17" t="n">
        <v>0.0306</v>
      </c>
      <c r="F60" s="17" t="n">
        <v>-0.0194</v>
      </c>
    </row>
    <row r="61">
      <c r="B61" s="10" t="inlineStr">
        <is>
          <t>c_{t-1} =</t>
        </is>
      </c>
      <c r="D61" s="12" t="n">
        <v>0.0161</v>
      </c>
      <c r="E61" s="12" t="n">
        <v>0.06</v>
      </c>
      <c r="F61" s="12" t="n">
        <v>-0.0401</v>
      </c>
    </row>
    <row r="62"/>
    <row r="63">
      <c r="B63" s="18" t="inlineStr">
        <is>
          <t>[h_{t-1}, x_t] =</t>
        </is>
      </c>
      <c r="E63" s="18" t="n">
        <v>0.008500000000000001</v>
      </c>
      <c r="F63" s="18" t="n">
        <v>0.0306</v>
      </c>
      <c r="G63" s="18" t="n">
        <v>-0.0194</v>
      </c>
      <c r="H63" s="18" t="n">
        <v>0.5</v>
      </c>
      <c r="I63" s="18" t="n">
        <v>0.3</v>
      </c>
      <c r="J63" s="18" t="n">
        <v>0.2</v>
      </c>
      <c r="K63" s="18" t="n">
        <v>-0.1</v>
      </c>
    </row>
    <row r="64"/>
    <row r="65">
      <c r="B65" s="5" t="inlineStr">
        <is>
          <t>① Forget Gate f_t = σ(...):</t>
        </is>
      </c>
    </row>
    <row r="66">
      <c r="B66" s="14" t="inlineStr">
        <is>
          <t xml:space="preserve">  [0]</t>
        </is>
      </c>
      <c r="D66" s="14">
        <f> 0.6426</f>
        <v/>
      </c>
    </row>
    <row r="67">
      <c r="B67" s="14" t="inlineStr">
        <is>
          <t xml:space="preserve">  [1]</t>
        </is>
      </c>
      <c r="D67" s="14">
        <f> 0.6443</f>
        <v/>
      </c>
    </row>
    <row r="68">
      <c r="B68" s="14" t="inlineStr">
        <is>
          <t xml:space="preserve">  [2]</t>
        </is>
      </c>
      <c r="D68" s="14">
        <f> 0.6251</f>
        <v/>
      </c>
    </row>
    <row r="69"/>
    <row r="70">
      <c r="B70" s="7" t="inlineStr">
        <is>
          <t>② Input Gate i_t = σ(...):</t>
        </is>
      </c>
    </row>
    <row r="71">
      <c r="B71" s="15" t="inlineStr">
        <is>
          <t xml:space="preserve">  [0]</t>
        </is>
      </c>
      <c r="D71" s="15">
        <f> 0.5186</f>
        <v/>
      </c>
    </row>
    <row r="72">
      <c r="B72" s="15" t="inlineStr">
        <is>
          <t xml:space="preserve">  [1]</t>
        </is>
      </c>
      <c r="D72" s="15">
        <f> 0.5049</f>
        <v/>
      </c>
    </row>
    <row r="73">
      <c r="B73" s="15" t="inlineStr">
        <is>
          <t xml:space="preserve">  [2]</t>
        </is>
      </c>
      <c r="D73" s="15">
        <f> 0.5638</f>
        <v/>
      </c>
    </row>
    <row r="74"/>
    <row r="75">
      <c r="B75" s="8" t="inlineStr">
        <is>
          <t>③ Candidate c̃_t = tanh(...):</t>
        </is>
      </c>
    </row>
    <row r="76">
      <c r="B76" s="16" t="inlineStr">
        <is>
          <t xml:space="preserve">  [0]</t>
        </is>
      </c>
      <c r="D76" s="16">
        <f> 0.1282</f>
        <v/>
      </c>
    </row>
    <row r="77">
      <c r="B77" s="16" t="inlineStr">
        <is>
          <t xml:space="preserve">  [1]</t>
        </is>
      </c>
      <c r="D77" s="16">
        <f> 0.0447</f>
        <v/>
      </c>
    </row>
    <row r="78">
      <c r="B78" s="16" t="inlineStr">
        <is>
          <t xml:space="preserve">  [2]</t>
        </is>
      </c>
      <c r="D78" s="16">
        <f> -0.0136</f>
        <v/>
      </c>
    </row>
    <row r="79"/>
    <row r="80">
      <c r="B80" s="9" t="inlineStr">
        <is>
          <t>④ Output Gate o_t = σ(...):</t>
        </is>
      </c>
    </row>
    <row r="81">
      <c r="B81" s="21" t="inlineStr">
        <is>
          <t xml:space="preserve">  [0]</t>
        </is>
      </c>
      <c r="D81" s="21">
        <f> 0.5197</f>
        <v/>
      </c>
    </row>
    <row r="82">
      <c r="B82" s="21" t="inlineStr">
        <is>
          <t xml:space="preserve">  [1]</t>
        </is>
      </c>
      <c r="D82" s="21">
        <f> 0.5258</f>
        <v/>
      </c>
    </row>
    <row r="83">
      <c r="B83" s="21" t="inlineStr">
        <is>
          <t xml:space="preserve">  [2]</t>
        </is>
      </c>
      <c r="D83" s="21">
        <f> 0.5185</f>
        <v/>
      </c>
    </row>
    <row r="84"/>
    <row r="85">
      <c r="B85" s="10" t="inlineStr">
        <is>
          <t>⑤ Cell State c_t = f_t ⊙ c_{t-1} + i_t ⊙ c̃_t:</t>
        </is>
      </c>
    </row>
    <row r="86">
      <c r="B86" s="12" t="inlineStr">
        <is>
          <t xml:space="preserve">  c[0]</t>
        </is>
      </c>
      <c r="D86">
        <f> 0.6426×0.0161 + 0.5186×0.1282</f>
        <v/>
      </c>
      <c r="N86" s="12">
        <f> 0.0768</f>
        <v/>
      </c>
    </row>
    <row r="87">
      <c r="B87" s="12" t="inlineStr">
        <is>
          <t xml:space="preserve">  c[1]</t>
        </is>
      </c>
      <c r="D87">
        <f> 0.6443×0.06 + 0.5049×0.0447</f>
        <v/>
      </c>
      <c r="N87" s="12">
        <f> 0.0612</f>
        <v/>
      </c>
    </row>
    <row r="88">
      <c r="B88" s="12" t="inlineStr">
        <is>
          <t xml:space="preserve">  c[2]</t>
        </is>
      </c>
      <c r="D88">
        <f> 0.6251×-0.0401 + 0.5638×-0.0136</f>
        <v/>
      </c>
      <c r="N88" s="12">
        <f> -0.0328</f>
        <v/>
      </c>
    </row>
    <row r="89"/>
    <row r="90">
      <c r="B90" s="11" t="inlineStr">
        <is>
          <t>⑥ Hidden State h_t = o_t ⊙ tanh(c_t):</t>
        </is>
      </c>
    </row>
    <row r="91">
      <c r="B91" s="17" t="inlineStr">
        <is>
          <t xml:space="preserve">  h[0]</t>
        </is>
      </c>
      <c r="D91">
        <f> 0.5197 × tanh(0.0768)</f>
        <v/>
      </c>
      <c r="L91">
        <f> 0.5197 × 0.0766</f>
        <v/>
      </c>
      <c r="R91" s="17">
        <f> 0.0399</f>
        <v/>
      </c>
    </row>
    <row r="92">
      <c r="B92" s="17" t="inlineStr">
        <is>
          <t xml:space="preserve">  h[1]</t>
        </is>
      </c>
      <c r="D92">
        <f> 0.5258 × tanh(0.0612)</f>
        <v/>
      </c>
      <c r="L92">
        <f> 0.5258 × 0.0611</f>
        <v/>
      </c>
      <c r="R92" s="17">
        <f> 0.0322</f>
        <v/>
      </c>
    </row>
    <row r="93">
      <c r="B93" s="17" t="inlineStr">
        <is>
          <t xml:space="preserve">  h[2]</t>
        </is>
      </c>
      <c r="D93">
        <f> 0.5185 × tanh(-0.0328)</f>
        <v/>
      </c>
      <c r="L93">
        <f> 0.5185 × -0.0328</f>
        <v/>
      </c>
      <c r="R93" s="17">
        <f> -0.017</f>
        <v/>
      </c>
    </row>
    <row r="94"/>
    <row r="95"/>
    <row r="96">
      <c r="B96" s="10" t="inlineStr">
        <is>
          <t>→ c_t =</t>
        </is>
      </c>
      <c r="E96" s="12" t="n">
        <v>0.07679999999999999</v>
      </c>
      <c r="F96" s="12" t="n">
        <v>0.0612</v>
      </c>
      <c r="G96" s="12" t="n">
        <v>-0.0328</v>
      </c>
    </row>
    <row r="97">
      <c r="B97" s="11" t="inlineStr">
        <is>
          <t>→ h_t =</t>
        </is>
      </c>
      <c r="E97" s="17" t="n">
        <v>0.0399</v>
      </c>
      <c r="F97" s="17" t="n">
        <v>0.0322</v>
      </c>
      <c r="G97" s="17" t="n">
        <v>-0.017</v>
      </c>
    </row>
    <row r="98"/>
    <row r="99"/>
    <row r="100">
      <c r="B100" s="22" t="inlineStr">
        <is>
          <t>═══ t=2: 'is' ═══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4" t="n"/>
    </row>
    <row r="101"/>
    <row r="102">
      <c r="B102" s="24" t="inlineStr">
        <is>
          <t>x_t =</t>
        </is>
      </c>
      <c r="D102" s="20" t="n">
        <v>-0.1</v>
      </c>
      <c r="E102" s="20" t="n">
        <v>0.2</v>
      </c>
      <c r="F102" s="20" t="n">
        <v>0.1</v>
      </c>
      <c r="G102" s="20" t="n">
        <v>0.1</v>
      </c>
    </row>
    <row r="103">
      <c r="B103" s="11" t="inlineStr">
        <is>
          <t>h_{t-1} =</t>
        </is>
      </c>
      <c r="D103" s="17" t="n">
        <v>0.0399</v>
      </c>
      <c r="E103" s="17" t="n">
        <v>0.0322</v>
      </c>
      <c r="F103" s="17" t="n">
        <v>-0.017</v>
      </c>
    </row>
    <row r="104">
      <c r="B104" s="10" t="inlineStr">
        <is>
          <t>c_{t-1} =</t>
        </is>
      </c>
      <c r="D104" s="12" t="n">
        <v>0.07679999999999999</v>
      </c>
      <c r="E104" s="12" t="n">
        <v>0.0612</v>
      </c>
      <c r="F104" s="12" t="n">
        <v>-0.0328</v>
      </c>
    </row>
    <row r="105"/>
    <row r="106">
      <c r="B106" s="18" t="inlineStr">
        <is>
          <t>[h_{t-1}, x_t] =</t>
        </is>
      </c>
      <c r="E106" s="18" t="n">
        <v>0.0399</v>
      </c>
      <c r="F106" s="18" t="n">
        <v>0.0322</v>
      </c>
      <c r="G106" s="18" t="n">
        <v>-0.017</v>
      </c>
      <c r="H106" s="18" t="n">
        <v>-0.1</v>
      </c>
      <c r="I106" s="18" t="n">
        <v>0.2</v>
      </c>
      <c r="J106" s="18" t="n">
        <v>0.1</v>
      </c>
      <c r="K106" s="18" t="n">
        <v>0.1</v>
      </c>
    </row>
    <row r="107"/>
    <row r="108">
      <c r="B108" s="5" t="inlineStr">
        <is>
          <t>① Forget Gate f_t = σ(...):</t>
        </is>
      </c>
    </row>
    <row r="109">
      <c r="B109" s="14" t="inlineStr">
        <is>
          <t xml:space="preserve">  [0]</t>
        </is>
      </c>
      <c r="D109" s="14">
        <f> 0.6137</f>
        <v/>
      </c>
    </row>
    <row r="110">
      <c r="B110" s="14" t="inlineStr">
        <is>
          <t xml:space="preserve">  [1]</t>
        </is>
      </c>
      <c r="D110" s="14">
        <f> 0.6427</f>
        <v/>
      </c>
    </row>
    <row r="111">
      <c r="B111" s="14" t="inlineStr">
        <is>
          <t xml:space="preserve">  [2]</t>
        </is>
      </c>
      <c r="D111" s="14">
        <f> 0.6269</f>
        <v/>
      </c>
    </row>
    <row r="112"/>
    <row r="113">
      <c r="B113" s="7" t="inlineStr">
        <is>
          <t>② Input Gate i_t = σ(...):</t>
        </is>
      </c>
    </row>
    <row r="114">
      <c r="B114" s="15" t="inlineStr">
        <is>
          <t xml:space="preserve">  [0]</t>
        </is>
      </c>
      <c r="D114" s="15">
        <f> 0.506</f>
        <v/>
      </c>
    </row>
    <row r="115">
      <c r="B115" s="15" t="inlineStr">
        <is>
          <t xml:space="preserve">  [1]</t>
        </is>
      </c>
      <c r="D115" s="15">
        <f> 0.4943</f>
        <v/>
      </c>
    </row>
    <row r="116">
      <c r="B116" s="15" t="inlineStr">
        <is>
          <t xml:space="preserve">  [2]</t>
        </is>
      </c>
      <c r="D116" s="15">
        <f> 0.5032</f>
        <v/>
      </c>
    </row>
    <row r="117"/>
    <row r="118">
      <c r="B118" s="8" t="inlineStr">
        <is>
          <t>③ Candidate c̃_t = tanh(...):</t>
        </is>
      </c>
    </row>
    <row r="119">
      <c r="B119" s="16" t="inlineStr">
        <is>
          <t xml:space="preserve">  [0]</t>
        </is>
      </c>
      <c r="D119" s="16">
        <f> 0.0121</f>
        <v/>
      </c>
    </row>
    <row r="120">
      <c r="B120" s="16" t="inlineStr">
        <is>
          <t xml:space="preserve">  [1]</t>
        </is>
      </c>
      <c r="D120" s="16">
        <f> 0.0313</f>
        <v/>
      </c>
    </row>
    <row r="121">
      <c r="B121" s="16" t="inlineStr">
        <is>
          <t xml:space="preserve">  [2]</t>
        </is>
      </c>
      <c r="D121" s="16">
        <f> 0.0539</f>
        <v/>
      </c>
    </row>
    <row r="122"/>
    <row r="123">
      <c r="B123" s="9" t="inlineStr">
        <is>
          <t>④ Output Gate o_t = σ(...):</t>
        </is>
      </c>
    </row>
    <row r="124">
      <c r="B124" s="21" t="inlineStr">
        <is>
          <t xml:space="preserve">  [0]</t>
        </is>
      </c>
      <c r="D124" s="21">
        <f> 0.5136</f>
        <v/>
      </c>
    </row>
    <row r="125">
      <c r="B125" s="21" t="inlineStr">
        <is>
          <t xml:space="preserve">  [1]</t>
        </is>
      </c>
      <c r="D125" s="21">
        <f> 0.4977</f>
        <v/>
      </c>
    </row>
    <row r="126">
      <c r="B126" s="21" t="inlineStr">
        <is>
          <t xml:space="preserve">  [2]</t>
        </is>
      </c>
      <c r="D126" s="21">
        <f> 0.5143</f>
        <v/>
      </c>
    </row>
    <row r="127"/>
    <row r="128">
      <c r="B128" s="10" t="inlineStr">
        <is>
          <t>⑤ Cell State c_t = f_t ⊙ c_{t-1} + i_t ⊙ c̃_t:</t>
        </is>
      </c>
    </row>
    <row r="129">
      <c r="B129" s="12" t="inlineStr">
        <is>
          <t xml:space="preserve">  c[0]</t>
        </is>
      </c>
      <c r="D129">
        <f> 0.6137×0.0768 + 0.506×0.0121</f>
        <v/>
      </c>
      <c r="N129" s="12">
        <f> 0.0533</f>
        <v/>
      </c>
    </row>
    <row r="130">
      <c r="B130" s="12" t="inlineStr">
        <is>
          <t xml:space="preserve">  c[1]</t>
        </is>
      </c>
      <c r="D130">
        <f> 0.6427×0.0612 + 0.4943×0.0313</f>
        <v/>
      </c>
      <c r="N130" s="12">
        <f> 0.0549</f>
        <v/>
      </c>
    </row>
    <row r="131">
      <c r="B131" s="12" t="inlineStr">
        <is>
          <t xml:space="preserve">  c[2]</t>
        </is>
      </c>
      <c r="D131">
        <f> 0.6269×-0.0328 + 0.5032×0.0539</f>
        <v/>
      </c>
      <c r="N131" s="12">
        <f> 0.0066</f>
        <v/>
      </c>
    </row>
    <row r="132"/>
    <row r="133">
      <c r="B133" s="11" t="inlineStr">
        <is>
          <t>⑥ Hidden State h_t = o_t ⊙ tanh(c_t):</t>
        </is>
      </c>
    </row>
    <row r="134">
      <c r="B134" s="17" t="inlineStr">
        <is>
          <t xml:space="preserve">  h[0]</t>
        </is>
      </c>
      <c r="D134">
        <f> 0.5136 × tanh(0.0533)</f>
        <v/>
      </c>
      <c r="L134">
        <f> 0.5136 × 0.0532</f>
        <v/>
      </c>
      <c r="R134" s="17">
        <f> 0.0273</f>
        <v/>
      </c>
    </row>
    <row r="135">
      <c r="B135" s="17" t="inlineStr">
        <is>
          <t xml:space="preserve">  h[1]</t>
        </is>
      </c>
      <c r="D135">
        <f> 0.4977 × tanh(0.0549)</f>
        <v/>
      </c>
      <c r="L135">
        <f> 0.4977 × 0.0548</f>
        <v/>
      </c>
      <c r="R135" s="17">
        <f> 0.0273</f>
        <v/>
      </c>
    </row>
    <row r="136">
      <c r="B136" s="17" t="inlineStr">
        <is>
          <t xml:space="preserve">  h[2]</t>
        </is>
      </c>
      <c r="D136">
        <f> 0.5143 × tanh(0.0066)</f>
        <v/>
      </c>
      <c r="L136">
        <f> 0.5143 × 0.0066</f>
        <v/>
      </c>
      <c r="R136" s="17">
        <f> 0.0034</f>
        <v/>
      </c>
    </row>
    <row r="137"/>
    <row r="138"/>
    <row r="139">
      <c r="B139" s="10" t="inlineStr">
        <is>
          <t>→ c_t =</t>
        </is>
      </c>
      <c r="E139" s="12" t="n">
        <v>0.0533</v>
      </c>
      <c r="F139" s="12" t="n">
        <v>0.0549</v>
      </c>
      <c r="G139" s="12" t="n">
        <v>0.0066</v>
      </c>
    </row>
    <row r="140">
      <c r="B140" s="11" t="inlineStr">
        <is>
          <t>→ h_t =</t>
        </is>
      </c>
      <c r="E140" s="17" t="n">
        <v>0.0273</v>
      </c>
      <c r="F140" s="17" t="n">
        <v>0.0273</v>
      </c>
      <c r="G140" s="17" t="n">
        <v>0.0034</v>
      </c>
    </row>
    <row r="141"/>
    <row r="142"/>
    <row r="143">
      <c r="B143" s="22" t="inlineStr">
        <is>
          <t>═══ t=3: 'good' ═══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4" t="n"/>
    </row>
    <row r="144"/>
    <row r="145">
      <c r="B145" s="24" t="inlineStr">
        <is>
          <t>x_t =</t>
        </is>
      </c>
      <c r="D145" s="20" t="n">
        <v>0.6</v>
      </c>
      <c r="E145" s="20" t="n">
        <v>0.5</v>
      </c>
      <c r="F145" s="20" t="n">
        <v>0.4</v>
      </c>
      <c r="G145" s="20" t="n">
        <v>0.3</v>
      </c>
    </row>
    <row r="146">
      <c r="B146" s="11" t="inlineStr">
        <is>
          <t>h_{t-1} =</t>
        </is>
      </c>
      <c r="D146" s="17" t="n">
        <v>0.0273</v>
      </c>
      <c r="E146" s="17" t="n">
        <v>0.0273</v>
      </c>
      <c r="F146" s="17" t="n">
        <v>0.0034</v>
      </c>
    </row>
    <row r="147">
      <c r="B147" s="10" t="inlineStr">
        <is>
          <t>c_{t-1} =</t>
        </is>
      </c>
      <c r="D147" s="12" t="n">
        <v>0.0533</v>
      </c>
      <c r="E147" s="12" t="n">
        <v>0.0549</v>
      </c>
      <c r="F147" s="12" t="n">
        <v>0.0066</v>
      </c>
    </row>
    <row r="148"/>
    <row r="149">
      <c r="B149" s="18" t="inlineStr">
        <is>
          <t>[h_{t-1}, x_t] =</t>
        </is>
      </c>
      <c r="E149" s="18" t="n">
        <v>0.0273</v>
      </c>
      <c r="F149" s="18" t="n">
        <v>0.0273</v>
      </c>
      <c r="G149" s="18" t="n">
        <v>0.0034</v>
      </c>
      <c r="H149" s="18" t="n">
        <v>0.6</v>
      </c>
      <c r="I149" s="18" t="n">
        <v>0.5</v>
      </c>
      <c r="J149" s="18" t="n">
        <v>0.4</v>
      </c>
      <c r="K149" s="18" t="n">
        <v>0.3</v>
      </c>
    </row>
    <row r="150"/>
    <row r="151">
      <c r="B151" s="5" t="inlineStr">
        <is>
          <t>① Forget Gate f_t = σ(...):</t>
        </is>
      </c>
    </row>
    <row r="152">
      <c r="B152" s="14" t="inlineStr">
        <is>
          <t xml:space="preserve">  [0]</t>
        </is>
      </c>
      <c r="D152" s="14">
        <f> 0.6644</f>
        <v/>
      </c>
    </row>
    <row r="153">
      <c r="B153" s="14" t="inlineStr">
        <is>
          <t xml:space="preserve">  [1]</t>
        </is>
      </c>
      <c r="D153" s="14">
        <f> 0.6548</f>
        <v/>
      </c>
    </row>
    <row r="154">
      <c r="B154" s="14" t="inlineStr">
        <is>
          <t xml:space="preserve">  [2]</t>
        </is>
      </c>
      <c r="D154" s="14">
        <f> 0.651</f>
        <v/>
      </c>
    </row>
    <row r="155"/>
    <row r="156">
      <c r="B156" s="7" t="inlineStr">
        <is>
          <t>② Input Gate i_t = σ(...):</t>
        </is>
      </c>
    </row>
    <row r="157">
      <c r="B157" s="15" t="inlineStr">
        <is>
          <t xml:space="preserve">  [0]</t>
        </is>
      </c>
      <c r="D157" s="15">
        <f> 0.5555</f>
        <v/>
      </c>
    </row>
    <row r="158">
      <c r="B158" s="15" t="inlineStr">
        <is>
          <t xml:space="preserve">  [1]</t>
        </is>
      </c>
      <c r="D158" s="15">
        <f> 0.5184</f>
        <v/>
      </c>
    </row>
    <row r="159">
      <c r="B159" s="15" t="inlineStr">
        <is>
          <t xml:space="preserve">  [2]</t>
        </is>
      </c>
      <c r="D159" s="15">
        <f> 0.5666</f>
        <v/>
      </c>
    </row>
    <row r="160"/>
    <row r="161">
      <c r="B161" s="8" t="inlineStr">
        <is>
          <t>③ Candidate c̃_t = tanh(...):</t>
        </is>
      </c>
    </row>
    <row r="162">
      <c r="B162" s="16" t="inlineStr">
        <is>
          <t xml:space="preserve">  [0]</t>
        </is>
      </c>
      <c r="D162" s="16">
        <f> 0.224</f>
        <v/>
      </c>
    </row>
    <row r="163">
      <c r="B163" s="16" t="inlineStr">
        <is>
          <t xml:space="preserve">  [1]</t>
        </is>
      </c>
      <c r="D163" s="16">
        <f> 0.1424</f>
        <v/>
      </c>
    </row>
    <row r="164">
      <c r="B164" s="16" t="inlineStr">
        <is>
          <t xml:space="preserve">  [2]</t>
        </is>
      </c>
      <c r="D164" s="16">
        <f> -0.0142</f>
        <v/>
      </c>
    </row>
    <row r="165"/>
    <row r="166">
      <c r="B166" s="9" t="inlineStr">
        <is>
          <t>④ Output Gate o_t = σ(...):</t>
        </is>
      </c>
    </row>
    <row r="167">
      <c r="B167" s="21" t="inlineStr">
        <is>
          <t xml:space="preserve">  [0]</t>
        </is>
      </c>
      <c r="D167" s="21">
        <f> 0.5467</f>
        <v/>
      </c>
    </row>
    <row r="168">
      <c r="B168" s="21" t="inlineStr">
        <is>
          <t xml:space="preserve">  [1]</t>
        </is>
      </c>
      <c r="D168" s="21">
        <f> 0.5456</f>
        <v/>
      </c>
    </row>
    <row r="169">
      <c r="B169" s="21" t="inlineStr">
        <is>
          <t xml:space="preserve">  [2]</t>
        </is>
      </c>
      <c r="D169" s="21">
        <f> 0.5177</f>
        <v/>
      </c>
    </row>
    <row r="170"/>
    <row r="171">
      <c r="B171" s="10" t="inlineStr">
        <is>
          <t>⑤ Cell State c_t = f_t ⊙ c_{t-1} + i_t ⊙ c̃_t:</t>
        </is>
      </c>
    </row>
    <row r="172">
      <c r="B172" s="12" t="inlineStr">
        <is>
          <t xml:space="preserve">  c[0]</t>
        </is>
      </c>
      <c r="D172">
        <f> 0.6644×0.0533 + 0.5555×0.224</f>
        <v/>
      </c>
      <c r="N172" s="12">
        <f> 0.1598</f>
        <v/>
      </c>
    </row>
    <row r="173">
      <c r="B173" s="12" t="inlineStr">
        <is>
          <t xml:space="preserve">  c[1]</t>
        </is>
      </c>
      <c r="D173">
        <f> 0.6548×0.0549 + 0.5184×0.1424</f>
        <v/>
      </c>
      <c r="N173" s="12">
        <f> 0.1098</f>
        <v/>
      </c>
    </row>
    <row r="174">
      <c r="B174" s="12" t="inlineStr">
        <is>
          <t xml:space="preserve">  c[2]</t>
        </is>
      </c>
      <c r="D174">
        <f> 0.651×0.0066 + 0.5666×-0.0142</f>
        <v/>
      </c>
      <c r="N174" s="12">
        <f> -0.0038</f>
        <v/>
      </c>
    </row>
    <row r="175"/>
    <row r="176">
      <c r="B176" s="11" t="inlineStr">
        <is>
          <t>⑥ Hidden State h_t = o_t ⊙ tanh(c_t):</t>
        </is>
      </c>
    </row>
    <row r="177">
      <c r="B177" s="17" t="inlineStr">
        <is>
          <t xml:space="preserve">  h[0]</t>
        </is>
      </c>
      <c r="D177">
        <f> 0.5467 × tanh(0.1598)</f>
        <v/>
      </c>
      <c r="L177">
        <f> 0.5467 × 0.1585</f>
        <v/>
      </c>
      <c r="R177" s="17">
        <f> 0.0867</f>
        <v/>
      </c>
    </row>
    <row r="178">
      <c r="B178" s="17" t="inlineStr">
        <is>
          <t xml:space="preserve">  h[1]</t>
        </is>
      </c>
      <c r="D178">
        <f> 0.5456 × tanh(0.1098)</f>
        <v/>
      </c>
      <c r="L178">
        <f> 0.5456 × 0.1094</f>
        <v/>
      </c>
      <c r="R178" s="17">
        <f> 0.0597</f>
        <v/>
      </c>
    </row>
    <row r="179">
      <c r="B179" s="17" t="inlineStr">
        <is>
          <t xml:space="preserve">  h[2]</t>
        </is>
      </c>
      <c r="D179">
        <f> 0.5177 × tanh(-0.0038)</f>
        <v/>
      </c>
      <c r="L179">
        <f> 0.5177 × -0.0038</f>
        <v/>
      </c>
      <c r="R179" s="17">
        <f> -0.0019</f>
        <v/>
      </c>
    </row>
    <row r="180"/>
    <row r="181"/>
    <row r="182">
      <c r="B182" s="10" t="inlineStr">
        <is>
          <t>→ c_t =</t>
        </is>
      </c>
      <c r="E182" s="12" t="n">
        <v>0.1598</v>
      </c>
      <c r="F182" s="12" t="n">
        <v>0.1098</v>
      </c>
      <c r="G182" s="12" t="n">
        <v>-0.0038</v>
      </c>
    </row>
    <row r="183">
      <c r="B183" s="11" t="inlineStr">
        <is>
          <t>→ h_t =</t>
        </is>
      </c>
      <c r="E183" s="17" t="n">
        <v>0.0867</v>
      </c>
      <c r="F183" s="17" t="n">
        <v>0.0597</v>
      </c>
      <c r="G183" s="17" t="n">
        <v>-0.0019</v>
      </c>
    </row>
    <row r="184"/>
    <row r="185"/>
    <row r="186">
      <c r="B186" s="26" t="inlineStr">
        <is>
          <t>═══ Final Output ═══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4" t="n"/>
    </row>
    <row r="187"/>
    <row r="188">
      <c r="B188" s="11" t="inlineStr">
        <is>
          <t>h_final =</t>
        </is>
      </c>
      <c r="E188" s="17" t="n">
        <v>0.0867</v>
      </c>
      <c r="F188" s="17" t="n">
        <v>0.0597</v>
      </c>
      <c r="G188" s="17" t="n">
        <v>-0.0019</v>
      </c>
    </row>
    <row r="189"/>
    <row r="190">
      <c r="B190" s="26" t="inlineStr">
        <is>
          <t>z_y = W_hy · h_final + b_y:</t>
        </is>
      </c>
    </row>
    <row r="191">
      <c r="B191" t="inlineStr">
        <is>
          <t xml:space="preserve">  = (0.5×0.0867) + (-0.3×0.0597) + (0.4×-0.0019) + 0.1</t>
        </is>
      </c>
    </row>
    <row r="192">
      <c r="B192" s="27" t="inlineStr">
        <is>
          <t xml:space="preserve">  = 0.1247</t>
        </is>
      </c>
    </row>
    <row r="193"/>
    <row r="194">
      <c r="B194" s="26" t="inlineStr">
        <is>
          <t>y_pred = sigmoid(0.1247) = 0.5311</t>
        </is>
      </c>
    </row>
    <row r="195"/>
    <row r="196">
      <c r="B196" s="2" t="inlineStr">
        <is>
          <t>BCE Loss = 0.6328</t>
        </is>
      </c>
    </row>
  </sheetData>
  <mergeCells count="7">
    <mergeCell ref="B186:T186"/>
    <mergeCell ref="B14:T14"/>
    <mergeCell ref="B2:AH2"/>
    <mergeCell ref="B57:T57"/>
    <mergeCell ref="B143:T143"/>
    <mergeCell ref="B4:T4"/>
    <mergeCell ref="B100:T10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/>
    <row r="2">
      <c r="B2" s="1" t="inlineStr">
        <is>
          <t>Gate Values Over Time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3"/>
    <row r="4">
      <c r="B4" s="5" t="inlineStr">
        <is>
          <t>═══ Forget Gate (f_t) - How Much to Forget ═══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4" t="n"/>
    </row>
    <row r="5"/>
    <row r="6">
      <c r="B6" t="inlineStr">
        <is>
          <t>Close to 0 = forget, close to 1 = remember</t>
        </is>
      </c>
    </row>
    <row r="7"/>
    <row r="8">
      <c r="B8" s="1" t="inlineStr">
        <is>
          <t>Time</t>
        </is>
      </c>
      <c r="C8" s="1" t="inlineStr">
        <is>
          <t>Word</t>
        </is>
      </c>
      <c r="E8" s="5" t="inlineStr">
        <is>
          <t>f[0]</t>
        </is>
      </c>
      <c r="F8" s="5" t="inlineStr">
        <is>
          <t>f[1]</t>
        </is>
      </c>
      <c r="G8" s="5" t="inlineStr">
        <is>
          <t>f[2]</t>
        </is>
      </c>
    </row>
    <row r="9">
      <c r="B9" s="18" t="inlineStr">
        <is>
          <t>t=0</t>
        </is>
      </c>
      <c r="C9" s="25" t="inlineStr">
        <is>
          <t>this</t>
        </is>
      </c>
      <c r="E9" s="14" t="inlineStr">
        <is>
          <t>64.3%</t>
        </is>
      </c>
      <c r="F9" s="14" t="inlineStr">
        <is>
          <t>60.8%</t>
        </is>
      </c>
      <c r="G9" s="14" t="inlineStr">
        <is>
          <t>65.5%</t>
        </is>
      </c>
    </row>
    <row r="10">
      <c r="B10" s="18" t="inlineStr">
        <is>
          <t>t=1</t>
        </is>
      </c>
      <c r="C10" s="25" t="inlineStr">
        <is>
          <t>movie</t>
        </is>
      </c>
      <c r="E10" s="14" t="inlineStr">
        <is>
          <t>64.3%</t>
        </is>
      </c>
      <c r="F10" s="14" t="inlineStr">
        <is>
          <t>64.4%</t>
        </is>
      </c>
      <c r="G10" s="14" t="inlineStr">
        <is>
          <t>62.5%</t>
        </is>
      </c>
    </row>
    <row r="11">
      <c r="B11" s="18" t="inlineStr">
        <is>
          <t>t=2</t>
        </is>
      </c>
      <c r="C11" s="25" t="inlineStr">
        <is>
          <t>is</t>
        </is>
      </c>
      <c r="E11" s="14" t="inlineStr">
        <is>
          <t>61.4%</t>
        </is>
      </c>
      <c r="F11" s="14" t="inlineStr">
        <is>
          <t>64.3%</t>
        </is>
      </c>
      <c r="G11" s="14" t="inlineStr">
        <is>
          <t>62.7%</t>
        </is>
      </c>
    </row>
    <row r="12">
      <c r="B12" s="18" t="inlineStr">
        <is>
          <t>t=3</t>
        </is>
      </c>
      <c r="C12" s="25" t="inlineStr">
        <is>
          <t>good</t>
        </is>
      </c>
      <c r="E12" s="14" t="inlineStr">
        <is>
          <t>66.4%</t>
        </is>
      </c>
      <c r="F12" s="14" t="inlineStr">
        <is>
          <t>65.5%</t>
        </is>
      </c>
      <c r="G12" s="14" t="inlineStr">
        <is>
          <t>65.1%</t>
        </is>
      </c>
    </row>
    <row r="13"/>
    <row r="14"/>
    <row r="15">
      <c r="B15" s="7" t="inlineStr">
        <is>
          <t>═══ Input Gate (i_t) - How Much to Store ═══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4" t="n"/>
    </row>
    <row r="16"/>
    <row r="17">
      <c r="B17" s="1" t="inlineStr">
        <is>
          <t>Time</t>
        </is>
      </c>
      <c r="C17" s="1" t="inlineStr">
        <is>
          <t>Word</t>
        </is>
      </c>
      <c r="E17" s="7" t="inlineStr">
        <is>
          <t>i[0]</t>
        </is>
      </c>
      <c r="F17" s="7" t="inlineStr">
        <is>
          <t>i[1]</t>
        </is>
      </c>
      <c r="G17" s="7" t="inlineStr">
        <is>
          <t>i[2]</t>
        </is>
      </c>
    </row>
    <row r="18">
      <c r="B18" s="18" t="inlineStr">
        <is>
          <t>t=0</t>
        </is>
      </c>
      <c r="C18" s="25" t="inlineStr">
        <is>
          <t>this</t>
        </is>
      </c>
      <c r="E18" s="15" t="inlineStr">
        <is>
          <t>53.7%</t>
        </is>
      </c>
      <c r="F18" s="15" t="inlineStr">
        <is>
          <t>50.2%</t>
        </is>
      </c>
      <c r="G18" s="15" t="inlineStr">
        <is>
          <t>50.2%</t>
        </is>
      </c>
    </row>
    <row r="19">
      <c r="B19" s="18" t="inlineStr">
        <is>
          <t>t=1</t>
        </is>
      </c>
      <c r="C19" s="25" t="inlineStr">
        <is>
          <t>movie</t>
        </is>
      </c>
      <c r="E19" s="15" t="inlineStr">
        <is>
          <t>51.9%</t>
        </is>
      </c>
      <c r="F19" s="15" t="inlineStr">
        <is>
          <t>50.5%</t>
        </is>
      </c>
      <c r="G19" s="15" t="inlineStr">
        <is>
          <t>56.4%</t>
        </is>
      </c>
    </row>
    <row r="20">
      <c r="B20" s="18" t="inlineStr">
        <is>
          <t>t=2</t>
        </is>
      </c>
      <c r="C20" s="25" t="inlineStr">
        <is>
          <t>is</t>
        </is>
      </c>
      <c r="E20" s="15" t="inlineStr">
        <is>
          <t>50.6%</t>
        </is>
      </c>
      <c r="F20" s="15" t="inlineStr">
        <is>
          <t>49.4%</t>
        </is>
      </c>
      <c r="G20" s="15" t="inlineStr">
        <is>
          <t>50.3%</t>
        </is>
      </c>
    </row>
    <row r="21">
      <c r="B21" s="18" t="inlineStr">
        <is>
          <t>t=3</t>
        </is>
      </c>
      <c r="C21" s="25" t="inlineStr">
        <is>
          <t>good</t>
        </is>
      </c>
      <c r="E21" s="15" t="inlineStr">
        <is>
          <t>55.6%</t>
        </is>
      </c>
      <c r="F21" s="15" t="inlineStr">
        <is>
          <t>51.8%</t>
        </is>
      </c>
      <c r="G21" s="15" t="inlineStr">
        <is>
          <t>56.7%</t>
        </is>
      </c>
    </row>
    <row r="22"/>
    <row r="23"/>
    <row r="24">
      <c r="B24" s="9" t="inlineStr">
        <is>
          <t>═══ Output Gate (o_t) - How Much to Output ═══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4" t="n"/>
    </row>
    <row r="25"/>
    <row r="26">
      <c r="B26" s="1" t="inlineStr">
        <is>
          <t>Time</t>
        </is>
      </c>
      <c r="C26" s="1" t="inlineStr">
        <is>
          <t>Word</t>
        </is>
      </c>
      <c r="E26" s="9" t="inlineStr">
        <is>
          <t>o[0]</t>
        </is>
      </c>
      <c r="F26" s="9" t="inlineStr">
        <is>
          <t>o[1]</t>
        </is>
      </c>
      <c r="G26" s="9" t="inlineStr">
        <is>
          <t>o[2]</t>
        </is>
      </c>
    </row>
    <row r="27">
      <c r="B27" s="18" t="inlineStr">
        <is>
          <t>t=0</t>
        </is>
      </c>
      <c r="C27" s="25" t="inlineStr">
        <is>
          <t>this</t>
        </is>
      </c>
      <c r="E27" s="21" t="inlineStr">
        <is>
          <t>52.7%</t>
        </is>
      </c>
      <c r="F27" s="21" t="inlineStr">
        <is>
          <t>51.0%</t>
        </is>
      </c>
      <c r="G27" s="21" t="inlineStr">
        <is>
          <t>48.5%</t>
        </is>
      </c>
    </row>
    <row r="28">
      <c r="B28" s="18" t="inlineStr">
        <is>
          <t>t=1</t>
        </is>
      </c>
      <c r="C28" s="25" t="inlineStr">
        <is>
          <t>movie</t>
        </is>
      </c>
      <c r="E28" s="21" t="inlineStr">
        <is>
          <t>52.0%</t>
        </is>
      </c>
      <c r="F28" s="21" t="inlineStr">
        <is>
          <t>52.6%</t>
        </is>
      </c>
      <c r="G28" s="21" t="inlineStr">
        <is>
          <t>51.8%</t>
        </is>
      </c>
    </row>
    <row r="29">
      <c r="B29" s="18" t="inlineStr">
        <is>
          <t>t=2</t>
        </is>
      </c>
      <c r="C29" s="25" t="inlineStr">
        <is>
          <t>is</t>
        </is>
      </c>
      <c r="E29" s="21" t="inlineStr">
        <is>
          <t>51.4%</t>
        </is>
      </c>
      <c r="F29" s="21" t="inlineStr">
        <is>
          <t>49.8%</t>
        </is>
      </c>
      <c r="G29" s="21" t="inlineStr">
        <is>
          <t>51.4%</t>
        </is>
      </c>
    </row>
    <row r="30">
      <c r="B30" s="18" t="inlineStr">
        <is>
          <t>t=3</t>
        </is>
      </c>
      <c r="C30" s="25" t="inlineStr">
        <is>
          <t>good</t>
        </is>
      </c>
      <c r="E30" s="21" t="inlineStr">
        <is>
          <t>54.7%</t>
        </is>
      </c>
      <c r="F30" s="21" t="inlineStr">
        <is>
          <t>54.6%</t>
        </is>
      </c>
      <c r="G30" s="21" t="inlineStr">
        <is>
          <t>51.8%</t>
        </is>
      </c>
    </row>
    <row r="31"/>
    <row r="32"/>
    <row r="33">
      <c r="B33" s="10" t="inlineStr">
        <is>
          <t>═══ Cell State (c_t) - Long-term Memory ═══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4" t="n"/>
    </row>
    <row r="34"/>
    <row r="35">
      <c r="B35" s="1" t="inlineStr">
        <is>
          <t>Time</t>
        </is>
      </c>
      <c r="C35" s="1" t="inlineStr">
        <is>
          <t>Word</t>
        </is>
      </c>
      <c r="E35" s="10" t="inlineStr">
        <is>
          <t>c[0]</t>
        </is>
      </c>
      <c r="F35" s="10" t="inlineStr">
        <is>
          <t>c[1]</t>
        </is>
      </c>
      <c r="G35" s="10" t="inlineStr">
        <is>
          <t>c[2]</t>
        </is>
      </c>
    </row>
    <row r="36">
      <c r="B36" s="18" t="inlineStr">
        <is>
          <t>t=0</t>
        </is>
      </c>
      <c r="C36" s="25" t="inlineStr">
        <is>
          <t>this</t>
        </is>
      </c>
      <c r="E36" s="12" t="n">
        <v>0.0161</v>
      </c>
      <c r="F36" s="12" t="n">
        <v>0.06</v>
      </c>
      <c r="G36" s="12" t="n">
        <v>-0.0401</v>
      </c>
    </row>
    <row r="37">
      <c r="B37" s="18" t="inlineStr">
        <is>
          <t>t=1</t>
        </is>
      </c>
      <c r="C37" s="25" t="inlineStr">
        <is>
          <t>movie</t>
        </is>
      </c>
      <c r="E37" s="12" t="n">
        <v>0.07679999999999999</v>
      </c>
      <c r="F37" s="12" t="n">
        <v>0.0612</v>
      </c>
      <c r="G37" s="12" t="n">
        <v>-0.0328</v>
      </c>
    </row>
    <row r="38">
      <c r="B38" s="18" t="inlineStr">
        <is>
          <t>t=2</t>
        </is>
      </c>
      <c r="C38" s="25" t="inlineStr">
        <is>
          <t>is</t>
        </is>
      </c>
      <c r="E38" s="12" t="n">
        <v>0.0533</v>
      </c>
      <c r="F38" s="12" t="n">
        <v>0.0549</v>
      </c>
      <c r="G38" s="12" t="n">
        <v>0.0066</v>
      </c>
    </row>
    <row r="39">
      <c r="B39" s="18" t="inlineStr">
        <is>
          <t>t=3</t>
        </is>
      </c>
      <c r="C39" s="25" t="inlineStr">
        <is>
          <t>good</t>
        </is>
      </c>
      <c r="E39" s="12" t="n">
        <v>0.1598</v>
      </c>
      <c r="F39" s="12" t="n">
        <v>0.1098</v>
      </c>
      <c r="G39" s="12" t="n">
        <v>-0.0038</v>
      </c>
    </row>
  </sheetData>
  <mergeCells count="5">
    <mergeCell ref="B4:N4"/>
    <mergeCell ref="B15:N15"/>
    <mergeCell ref="B33:N33"/>
    <mergeCell ref="B24:N24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/>
    <row r="2">
      <c r="B2" s="1" t="inlineStr">
        <is>
          <t>RNN vs LSTM Comparison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4" t="n"/>
    </row>
    <row r="3"/>
    <row r="4">
      <c r="B4" s="18" t="inlineStr"/>
      <c r="E4" s="2" t="inlineStr">
        <is>
          <t>Basic RNN</t>
        </is>
      </c>
      <c r="F4" s="3" t="n"/>
      <c r="G4" s="3" t="n"/>
      <c r="H4" s="3" t="n"/>
      <c r="I4" s="4" t="n"/>
      <c r="K4" s="35" t="inlineStr">
        <is>
          <t>LSTM</t>
        </is>
      </c>
      <c r="L4" s="3" t="n"/>
      <c r="M4" s="3" t="n"/>
      <c r="N4" s="3" t="n"/>
      <c r="O4" s="4" t="n"/>
    </row>
    <row r="5">
      <c r="B5" s="1" t="inlineStr">
        <is>
          <t>Formula</t>
        </is>
      </c>
      <c r="E5" s="36" t="inlineStr">
        <is>
          <t>h_t = tanh(W·[h,x])</t>
        </is>
      </c>
      <c r="F5" s="3" t="n"/>
      <c r="G5" s="3" t="n"/>
      <c r="H5" s="3" t="n"/>
      <c r="I5" s="4" t="n"/>
      <c r="K5" s="37" t="inlineStr">
        <is>
          <t>f, i, o gates + cell</t>
        </is>
      </c>
      <c r="L5" s="3" t="n"/>
      <c r="M5" s="3" t="n"/>
      <c r="N5" s="3" t="n"/>
      <c r="O5" s="4" t="n"/>
    </row>
    <row r="6">
      <c r="B6" s="1" t="inlineStr">
        <is>
          <t>Memory structure</t>
        </is>
      </c>
      <c r="E6" s="36" t="inlineStr">
        <is>
          <t>Hidden state only</t>
        </is>
      </c>
      <c r="F6" s="3" t="n"/>
      <c r="G6" s="3" t="n"/>
      <c r="H6" s="3" t="n"/>
      <c r="I6" s="4" t="n"/>
      <c r="K6" s="37" t="inlineStr">
        <is>
          <t>cell + hidden state</t>
        </is>
      </c>
      <c r="L6" s="3" t="n"/>
      <c r="M6" s="3" t="n"/>
      <c r="N6" s="3" t="n"/>
      <c r="O6" s="4" t="n"/>
    </row>
    <row r="7">
      <c r="B7" s="1" t="inlineStr">
        <is>
          <t>Long-term memory</t>
        </is>
      </c>
      <c r="E7" s="36" t="inlineStr">
        <is>
          <t>Difficult (vanishing)</t>
        </is>
      </c>
      <c r="F7" s="3" t="n"/>
      <c r="G7" s="3" t="n"/>
      <c r="H7" s="3" t="n"/>
      <c r="I7" s="4" t="n"/>
      <c r="K7" s="37" t="inlineStr">
        <is>
          <t>Solved with cell state</t>
        </is>
      </c>
      <c r="L7" s="3" t="n"/>
      <c r="M7" s="3" t="n"/>
      <c r="N7" s="3" t="n"/>
      <c r="O7" s="4" t="n"/>
    </row>
    <row r="8">
      <c r="B8" s="1" t="inlineStr">
        <is>
          <t>Gradient Flow</t>
        </is>
      </c>
      <c r="E8" s="36" t="inlineStr">
        <is>
          <t>Multiplication only (decrease)</t>
        </is>
      </c>
      <c r="F8" s="3" t="n"/>
      <c r="G8" s="3" t="n"/>
      <c r="H8" s="3" t="n"/>
      <c r="I8" s="4" t="n"/>
      <c r="K8" s="37" t="inlineStr">
        <is>
          <t>Addition path (preserve)</t>
        </is>
      </c>
      <c r="L8" s="3" t="n"/>
      <c r="M8" s="3" t="n"/>
      <c r="N8" s="3" t="n"/>
      <c r="O8" s="4" t="n"/>
    </row>
    <row r="9">
      <c r="B9" s="1" t="inlineStr">
        <is>
          <t>Number of parameters</t>
        </is>
      </c>
      <c r="E9" s="36" t="inlineStr">
        <is>
          <t>Less</t>
        </is>
      </c>
      <c r="F9" s="3" t="n"/>
      <c r="G9" s="3" t="n"/>
      <c r="H9" s="3" t="n"/>
      <c r="I9" s="4" t="n"/>
      <c r="K9" s="37" t="inlineStr">
        <is>
          <t>4x more</t>
        </is>
      </c>
      <c r="L9" s="3" t="n"/>
      <c r="M9" s="3" t="n"/>
      <c r="N9" s="3" t="n"/>
      <c r="O9" s="4" t="n"/>
    </row>
    <row r="10">
      <c r="B10" s="1" t="inlineStr">
        <is>
          <t>Learning speed</t>
        </is>
      </c>
      <c r="E10" s="36" t="inlineStr">
        <is>
          <t>Fast</t>
        </is>
      </c>
      <c r="F10" s="3" t="n"/>
      <c r="G10" s="3" t="n"/>
      <c r="H10" s="3" t="n"/>
      <c r="I10" s="4" t="n"/>
      <c r="K10" s="37" t="inlineStr">
        <is>
          <t>Slow</t>
        </is>
      </c>
      <c r="L10" s="3" t="n"/>
      <c r="M10" s="3" t="n"/>
      <c r="N10" s="3" t="n"/>
      <c r="O10" s="4" t="n"/>
    </row>
    <row r="11">
      <c r="B11" s="1" t="inlineStr">
        <is>
          <t>Performance</t>
        </is>
      </c>
      <c r="E11" s="36" t="inlineStr">
        <is>
          <t>Simple task</t>
        </is>
      </c>
      <c r="F11" s="3" t="n"/>
      <c r="G11" s="3" t="n"/>
      <c r="H11" s="3" t="n"/>
      <c r="I11" s="4" t="n"/>
      <c r="K11" s="37" t="inlineStr">
        <is>
          <t>Complex task</t>
        </is>
      </c>
      <c r="L11" s="3" t="n"/>
      <c r="M11" s="3" t="n"/>
      <c r="N11" s="3" t="n"/>
      <c r="O11" s="4" t="n"/>
    </row>
    <row r="12"/>
    <row r="13"/>
    <row r="14">
      <c r="B14" s="1" t="inlineStr">
        <is>
          <t>═══ Core of LSTM: Gradient Highway ═══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" t="n"/>
    </row>
    <row r="15"/>
    <row r="16">
      <c r="B16" t="inlineStr">
        <is>
          <t>• Cell State passes gradient almost unchanged like a 'highway'</t>
        </is>
      </c>
    </row>
    <row r="17">
      <c r="B17" t="inlineStr">
        <is>
          <t>• c_t = f_t ⊙ c_{t-1} + i_t ⊙ c̃_t</t>
        </is>
      </c>
    </row>
    <row r="18">
      <c r="B18" t="inlineStr">
        <is>
          <t>• ∂c_t/∂c_{t-1} = f_t (forget gate)</t>
        </is>
      </c>
    </row>
    <row r="19">
      <c r="B19" t="inlineStr">
        <is>
          <t>• If f_t ≈ 1, gradient passes through unchanged! (prevents vanishing)</t>
        </is>
      </c>
    </row>
    <row r="20"/>
    <row r="21">
      <c r="B21" t="inlineStr">
        <is>
          <t>• In contrast RNN: ∂h_t/∂h_{t-1} = W_hh · diag(1-h_t²)</t>
        </is>
      </c>
    </row>
    <row r="22">
      <c r="B22" t="inlineStr">
        <is>
          <t>• Multiplications accumulate causing gradient to vanish or explode</t>
        </is>
      </c>
    </row>
  </sheetData>
  <mergeCells count="18">
    <mergeCell ref="E4:I4"/>
    <mergeCell ref="B2:V2"/>
    <mergeCell ref="E6:I6"/>
    <mergeCell ref="E7:I7"/>
    <mergeCell ref="K7:O7"/>
    <mergeCell ref="K11:O11"/>
    <mergeCell ref="K8:O8"/>
    <mergeCell ref="E10:I10"/>
    <mergeCell ref="B14:P14"/>
    <mergeCell ref="K10:O10"/>
    <mergeCell ref="E11:I11"/>
    <mergeCell ref="K9:O9"/>
    <mergeCell ref="E5:I5"/>
    <mergeCell ref="K5:O5"/>
    <mergeCell ref="K6:O6"/>
    <mergeCell ref="E8:I8"/>
    <mergeCell ref="K4:O4"/>
    <mergeCell ref="E9:I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/>
    <row r="2">
      <c r="B2" s="26" t="inlineStr">
        <is>
          <t>LSTM Backward Pass (BPTT) - Original → Gradient → Updated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4" t="n"/>
    </row>
    <row r="3"/>
    <row r="4">
      <c r="B4" s="23" t="inlineStr">
        <is>
          <t>Learning Rate: 0.1</t>
        </is>
      </c>
    </row>
    <row r="5"/>
    <row r="6">
      <c r="B6" s="26" t="inlineStr">
        <is>
          <t>═══ Output Layer Gradients ═══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/>
    <row r="8">
      <c r="B8" s="38" t="inlineStr">
        <is>
          <t>dL/dy_pred = y_pred - y_true = 0.5311 - 1 = -0.4689</t>
        </is>
      </c>
    </row>
    <row r="9"/>
    <row r="10">
      <c r="B10" s="26" t="inlineStr">
        <is>
          <t>W_hy</t>
        </is>
      </c>
      <c r="F10" s="26" t="inlineStr">
        <is>
          <t>Original</t>
        </is>
      </c>
      <c r="J10" s="2" t="inlineStr">
        <is>
          <t>Gradient</t>
        </is>
      </c>
      <c r="N10" s="35" t="inlineStr">
        <is>
          <t>Updated</t>
        </is>
      </c>
    </row>
    <row r="11">
      <c r="B11" s="18" t="inlineStr">
        <is>
          <t>W_hy[0]</t>
        </is>
      </c>
      <c r="F11" s="27" t="n">
        <v>0.5</v>
      </c>
      <c r="J11" s="36" t="n">
        <v>-0.0406</v>
      </c>
      <c r="N11" s="37" t="n">
        <v>0.5041</v>
      </c>
    </row>
    <row r="12">
      <c r="B12" s="18" t="inlineStr">
        <is>
          <t>W_hy[1]</t>
        </is>
      </c>
      <c r="F12" s="27" t="n">
        <v>-0.3</v>
      </c>
      <c r="J12" s="36" t="n">
        <v>-0.028</v>
      </c>
      <c r="N12" s="37" t="n">
        <v>-0.2972</v>
      </c>
    </row>
    <row r="13">
      <c r="B13" s="18" t="inlineStr">
        <is>
          <t>W_hy[2]</t>
        </is>
      </c>
      <c r="F13" s="27" t="n">
        <v>0.4</v>
      </c>
      <c r="J13" s="36" t="n">
        <v>0.0009</v>
      </c>
      <c r="N13" s="37" t="n">
        <v>0.3999</v>
      </c>
    </row>
    <row r="14"/>
    <row r="15">
      <c r="B15" s="18" t="inlineStr">
        <is>
          <t>b_y</t>
        </is>
      </c>
      <c r="F15" s="27" t="n">
        <v>0.1</v>
      </c>
      <c r="J15" s="36" t="n">
        <v>-0.4689</v>
      </c>
      <c r="N15" s="37" t="n">
        <v>0.1469</v>
      </c>
    </row>
    <row r="16"/>
    <row r="17"/>
    <row r="18">
      <c r="B18" s="11" t="inlineStr">
        <is>
          <t>═══ Gradient to Hidden State ═══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/>
    <row r="20">
      <c r="B20" s="11" t="inlineStr">
        <is>
          <t>dL/dh_final = W_hy^T × dL/dz_y:</t>
        </is>
      </c>
    </row>
    <row r="21">
      <c r="B21" s="17" t="inlineStr">
        <is>
          <t xml:space="preserve">  dL/dh[0]</t>
        </is>
      </c>
      <c r="E21">
        <f> 0.5 × -0.4689 = -0.2344</f>
        <v/>
      </c>
    </row>
    <row r="22">
      <c r="B22" s="17" t="inlineStr">
        <is>
          <t xml:space="preserve">  dL/dh[1]</t>
        </is>
      </c>
      <c r="E22">
        <f> -0.3 × -0.4689 = 0.1407</f>
        <v/>
      </c>
    </row>
    <row r="23">
      <c r="B23" s="17" t="inlineStr">
        <is>
          <t xml:space="preserve">  dL/dh[2]</t>
        </is>
      </c>
      <c r="E23">
        <f> 0.4 × -0.4689 = -0.1876</f>
        <v/>
      </c>
    </row>
    <row r="24"/>
    <row r="25"/>
    <row r="26">
      <c r="B26" s="1" t="inlineStr">
        <is>
          <t>═══ Gate Gradients (t=3: 'good') ═══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4" t="n"/>
    </row>
    <row r="27"/>
    <row r="28">
      <c r="B28" s="9" t="inlineStr">
        <is>
          <t>① dL/do_t = dL/dh_t ⊙ tanh(c_t):</t>
        </is>
      </c>
    </row>
    <row r="29">
      <c r="B29" s="21" t="inlineStr">
        <is>
          <t xml:space="preserve">  dL/do[0]</t>
        </is>
      </c>
      <c r="E29">
        <f> -0.2344 × tanh(0.1598) = -0.0372</f>
        <v/>
      </c>
    </row>
    <row r="30">
      <c r="B30" s="21" t="inlineStr">
        <is>
          <t xml:space="preserve">  dL/do[1]</t>
        </is>
      </c>
      <c r="E30">
        <f> 0.1407 × tanh(0.1098) = 0.0154</f>
        <v/>
      </c>
    </row>
    <row r="31">
      <c r="B31" s="21" t="inlineStr">
        <is>
          <t xml:space="preserve">  dL/do[2]</t>
        </is>
      </c>
      <c r="E31">
        <f> -0.1876 × tanh(-0.0038) = 0.0007</f>
        <v/>
      </c>
    </row>
    <row r="32"/>
    <row r="33">
      <c r="B33" s="10" t="inlineStr">
        <is>
          <t>② dL/dc_t = dL/dh_t ⊙ o_t ⊙ (1 - tanh²(c_t)):</t>
        </is>
      </c>
    </row>
    <row r="34">
      <c r="B34" s="12" t="inlineStr">
        <is>
          <t xml:space="preserve">  dL/dc[0]</t>
        </is>
      </c>
      <c r="E34" s="12">
        <f> -0.125</f>
        <v/>
      </c>
    </row>
    <row r="35">
      <c r="B35" s="12" t="inlineStr">
        <is>
          <t xml:space="preserve">  dL/dc[1]</t>
        </is>
      </c>
      <c r="E35" s="12">
        <f> 0.0758</f>
        <v/>
      </c>
    </row>
    <row r="36">
      <c r="B36" s="12" t="inlineStr">
        <is>
          <t xml:space="preserve">  dL/dc[2]</t>
        </is>
      </c>
      <c r="E36" s="12">
        <f> -0.0971</f>
        <v/>
      </c>
    </row>
    <row r="37"/>
    <row r="38">
      <c r="B38" s="5" t="inlineStr">
        <is>
          <t>③ dL/df_t = dL/dc_t ⊙ c_{t-1}:</t>
        </is>
      </c>
    </row>
    <row r="39">
      <c r="B39" s="14" t="inlineStr">
        <is>
          <t xml:space="preserve">  dL/df[0]</t>
        </is>
      </c>
      <c r="E39">
        <f> -0.125 × 0.0533 = -0.0067</f>
        <v/>
      </c>
    </row>
    <row r="40">
      <c r="B40" s="14" t="inlineStr">
        <is>
          <t xml:space="preserve">  dL/df[1]</t>
        </is>
      </c>
      <c r="E40">
        <f> 0.0758 × 0.0549 = 0.0042</f>
        <v/>
      </c>
    </row>
    <row r="41">
      <c r="B41" s="14" t="inlineStr">
        <is>
          <t xml:space="preserve">  dL/df[2]</t>
        </is>
      </c>
      <c r="E41">
        <f> -0.0971 × 0.0066 = -0.0006</f>
        <v/>
      </c>
    </row>
    <row r="42"/>
    <row r="43">
      <c r="B43" s="7" t="inlineStr">
        <is>
          <t>④ dL/di_t = dL/dc_t ⊙ c̃_t:</t>
        </is>
      </c>
    </row>
    <row r="44">
      <c r="B44" s="15" t="inlineStr">
        <is>
          <t xml:space="preserve">  dL/di[0]</t>
        </is>
      </c>
      <c r="E44">
        <f> -0.125 × 0.224 = -0.028</f>
        <v/>
      </c>
    </row>
    <row r="45">
      <c r="B45" s="15" t="inlineStr">
        <is>
          <t xml:space="preserve">  dL/di[1]</t>
        </is>
      </c>
      <c r="E45">
        <f> 0.0758 × 0.1424 = 0.0108</f>
        <v/>
      </c>
    </row>
    <row r="46">
      <c r="B46" s="15" t="inlineStr">
        <is>
          <t xml:space="preserve">  dL/di[2]</t>
        </is>
      </c>
      <c r="E46">
        <f> -0.0971 × -0.0142 = 0.0014</f>
        <v/>
      </c>
    </row>
    <row r="47"/>
    <row r="48">
      <c r="B48" s="8" t="inlineStr">
        <is>
          <t>⑤ dL/dc̃_t = dL/dc_t ⊙ i_t:</t>
        </is>
      </c>
    </row>
    <row r="49">
      <c r="B49" s="16" t="inlineStr">
        <is>
          <t xml:space="preserve">  dL/dc̃[0]</t>
        </is>
      </c>
      <c r="E49">
        <f> -0.125 × 0.5555 = -0.0694</f>
        <v/>
      </c>
    </row>
    <row r="50">
      <c r="B50" s="16" t="inlineStr">
        <is>
          <t xml:space="preserve">  dL/dc̃[1]</t>
        </is>
      </c>
      <c r="E50">
        <f> 0.0758 × 0.5184 = 0.0393</f>
        <v/>
      </c>
    </row>
    <row r="51">
      <c r="B51" s="16" t="inlineStr">
        <is>
          <t xml:space="preserve">  dL/dc̃[2]</t>
        </is>
      </c>
      <c r="E51">
        <f> -0.0971 × 0.5666 = -0.055</f>
        <v/>
      </c>
    </row>
    <row r="52"/>
    <row r="53"/>
    <row r="54">
      <c r="B54" s="1" t="inlineStr">
        <is>
          <t>═══ Pre-activation Gradients (z) ═══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/>
    <row r="56">
      <c r="B56" s="29" t="inlineStr">
        <is>
          <t>dL/dz_f = dL/df ⊙ f ⊙ (1-f)  [sigmoid derivative]</t>
        </is>
      </c>
    </row>
    <row r="57">
      <c r="B57" s="30" t="inlineStr">
        <is>
          <t>dL/dz_i = dL/di ⊙ i ⊙ (1-i)  [sigmoid derivative]</t>
        </is>
      </c>
    </row>
    <row r="58">
      <c r="B58" s="32" t="inlineStr">
        <is>
          <t>dL/dz_o = dL/do ⊙ o ⊙ (1-o)  [sigmoid derivative]</t>
        </is>
      </c>
    </row>
    <row r="59">
      <c r="B59" s="31" t="inlineStr">
        <is>
          <t>dL/dz_c̃ = dL/dc̃ ⊙ (1-c̃²)     [tanh derivative]</t>
        </is>
      </c>
    </row>
    <row r="60"/>
    <row r="61">
      <c r="B61" s="1" t="inlineStr">
        <is>
          <t>Values:</t>
        </is>
      </c>
    </row>
    <row r="62">
      <c r="B62" s="29" t="inlineStr">
        <is>
          <t xml:space="preserve">  dL/dz_f = [-0.0015, 0.0009, -0.0001]</t>
        </is>
      </c>
    </row>
    <row r="63">
      <c r="B63" s="30" t="inlineStr">
        <is>
          <t xml:space="preserve">  dL/dz_i = [-0.0069, 0.0027, 0.0003]</t>
        </is>
      </c>
    </row>
    <row r="64">
      <c r="B64" s="32" t="inlineStr">
        <is>
          <t xml:space="preserve">  dL/dz_o = [-0.0092, 0.0038, 0.0002]</t>
        </is>
      </c>
    </row>
    <row r="65">
      <c r="B65" s="31" t="inlineStr">
        <is>
          <t xml:space="preserve">  dL/dz_c̃ = [-0.0659, 0.0385, -0.055]</t>
        </is>
      </c>
    </row>
    <row r="66"/>
    <row r="67"/>
    <row r="68">
      <c r="B68" s="5" t="inlineStr">
        <is>
          <t>═══ Forget Gate (W_f, b_f) Update ═══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4" t="n"/>
    </row>
    <row r="69"/>
    <row r="70">
      <c r="B70" s="18" t="inlineStr"/>
      <c r="D70" s="5" t="inlineStr">
        <is>
          <t>Original</t>
        </is>
      </c>
      <c r="E70" s="3" t="n"/>
      <c r="F70" s="3" t="n"/>
      <c r="G70" s="3" t="n"/>
      <c r="H70" s="3" t="n"/>
      <c r="I70" s="3" t="n"/>
      <c r="J70" s="3" t="n"/>
      <c r="K70" s="4" t="n"/>
      <c r="M70" s="2" t="inlineStr">
        <is>
          <t>Gradient</t>
        </is>
      </c>
      <c r="N70" s="3" t="n"/>
      <c r="O70" s="3" t="n"/>
      <c r="P70" s="3" t="n"/>
      <c r="Q70" s="3" t="n"/>
      <c r="R70" s="3" t="n"/>
      <c r="S70" s="3" t="n"/>
      <c r="T70" s="4" t="n"/>
      <c r="V70" s="35" t="inlineStr">
        <is>
          <t>Updated</t>
        </is>
      </c>
      <c r="W70" s="3" t="n"/>
      <c r="X70" s="3" t="n"/>
      <c r="Y70" s="3" t="n"/>
      <c r="Z70" s="3" t="n"/>
      <c r="AA70" s="3" t="n"/>
      <c r="AB70" s="3" t="n"/>
      <c r="AC70" s="4" t="n"/>
    </row>
    <row r="71">
      <c r="D71" s="18" t="inlineStr">
        <is>
          <t>h[0]</t>
        </is>
      </c>
      <c r="E71" s="18" t="inlineStr">
        <is>
          <t>h[1]</t>
        </is>
      </c>
      <c r="F71" s="18" t="inlineStr">
        <is>
          <t>h[2]</t>
        </is>
      </c>
      <c r="G71" s="18" t="inlineStr">
        <is>
          <t>x[0]</t>
        </is>
      </c>
      <c r="H71" s="18" t="inlineStr">
        <is>
          <t>x[1]</t>
        </is>
      </c>
      <c r="I71" s="18" t="inlineStr">
        <is>
          <t>x[2]</t>
        </is>
      </c>
      <c r="J71" s="18" t="inlineStr">
        <is>
          <t>x[3]</t>
        </is>
      </c>
      <c r="M71" s="18" t="inlineStr">
        <is>
          <t>h[0]</t>
        </is>
      </c>
      <c r="N71" s="18" t="inlineStr">
        <is>
          <t>h[1]</t>
        </is>
      </c>
      <c r="O71" s="18" t="inlineStr">
        <is>
          <t>h[2]</t>
        </is>
      </c>
      <c r="P71" s="18" t="inlineStr">
        <is>
          <t>x[0]</t>
        </is>
      </c>
      <c r="Q71" s="18" t="inlineStr">
        <is>
          <t>x[1]</t>
        </is>
      </c>
      <c r="R71" s="18" t="inlineStr">
        <is>
          <t>x[2]</t>
        </is>
      </c>
      <c r="S71" s="18" t="inlineStr">
        <is>
          <t>x[3]</t>
        </is>
      </c>
      <c r="V71" s="18" t="inlineStr">
        <is>
          <t>h[0]</t>
        </is>
      </c>
      <c r="W71" s="18" t="inlineStr">
        <is>
          <t>h[1]</t>
        </is>
      </c>
      <c r="X71" s="18" t="inlineStr">
        <is>
          <t>h[2]</t>
        </is>
      </c>
      <c r="Y71" s="18" t="inlineStr">
        <is>
          <t>x[0]</t>
        </is>
      </c>
      <c r="Z71" s="18" t="inlineStr">
        <is>
          <t>x[1]</t>
        </is>
      </c>
      <c r="AA71" s="18" t="inlineStr">
        <is>
          <t>x[2]</t>
        </is>
      </c>
      <c r="AB71" s="18" t="inlineStr">
        <is>
          <t>x[3]</t>
        </is>
      </c>
    </row>
    <row r="72">
      <c r="B72" s="14" t="inlineStr">
        <is>
          <t>W_f[0]</t>
        </is>
      </c>
      <c r="D72" s="14" t="n">
        <v>0.2</v>
      </c>
      <c r="E72" s="14" t="n">
        <v>-0.1</v>
      </c>
      <c r="F72" s="14" t="n">
        <v>0.1</v>
      </c>
      <c r="G72" s="14" t="n">
        <v>0.3</v>
      </c>
      <c r="H72" s="14" t="n">
        <v>-0.2</v>
      </c>
      <c r="I72" s="14" t="n">
        <v>0.1</v>
      </c>
      <c r="J72" s="14" t="n">
        <v>0.2</v>
      </c>
      <c r="M72" s="36" t="n">
        <v>0</v>
      </c>
      <c r="N72" s="36" t="n">
        <v>0</v>
      </c>
      <c r="O72" s="36" t="n">
        <v>0</v>
      </c>
      <c r="P72" s="36" t="n">
        <v>-0.0009</v>
      </c>
      <c r="Q72" s="36" t="n">
        <v>-0.0007</v>
      </c>
      <c r="R72" s="36" t="n">
        <v>-0.0005999999999999999</v>
      </c>
      <c r="S72" s="36" t="n">
        <v>-0.0004</v>
      </c>
      <c r="V72" s="37" t="n">
        <v>0.2</v>
      </c>
      <c r="W72" s="37" t="n">
        <v>-0.1</v>
      </c>
      <c r="X72" s="37" t="n">
        <v>0.1</v>
      </c>
      <c r="Y72" s="37" t="n">
        <v>0.3001</v>
      </c>
      <c r="Z72" s="37" t="n">
        <v>-0.1999</v>
      </c>
      <c r="AA72" s="37" t="n">
        <v>0.1001</v>
      </c>
      <c r="AB72" s="37" t="n">
        <v>0.2</v>
      </c>
    </row>
    <row r="73">
      <c r="B73" s="14" t="inlineStr">
        <is>
          <t>W_f[1]</t>
        </is>
      </c>
      <c r="D73" s="14" t="n">
        <v>0.1</v>
      </c>
      <c r="E73" s="14" t="n">
        <v>0.3</v>
      </c>
      <c r="F73" s="14" t="n">
        <v>-0.2</v>
      </c>
      <c r="G73" s="14" t="n">
        <v>-0.1</v>
      </c>
      <c r="H73" s="14" t="n">
        <v>0.2</v>
      </c>
      <c r="I73" s="14" t="n">
        <v>0.3</v>
      </c>
      <c r="J73" s="14" t="n">
        <v>-0.1</v>
      </c>
      <c r="M73" s="36" t="n">
        <v>0</v>
      </c>
      <c r="N73" s="36" t="n">
        <v>0</v>
      </c>
      <c r="O73" s="36" t="n">
        <v>0</v>
      </c>
      <c r="P73" s="36" t="n">
        <v>0.0005999999999999999</v>
      </c>
      <c r="Q73" s="36" t="n">
        <v>0.0005</v>
      </c>
      <c r="R73" s="36" t="n">
        <v>0.0004</v>
      </c>
      <c r="S73" s="36" t="n">
        <v>0.0003</v>
      </c>
      <c r="V73" s="37" t="n">
        <v>0.1</v>
      </c>
      <c r="W73" s="37" t="n">
        <v>0.3</v>
      </c>
      <c r="X73" s="37" t="n">
        <v>-0.2</v>
      </c>
      <c r="Y73" s="37" t="n">
        <v>-0.1001</v>
      </c>
      <c r="Z73" s="37" t="n">
        <v>0.2</v>
      </c>
      <c r="AA73" s="37" t="n">
        <v>0.3</v>
      </c>
      <c r="AB73" s="37" t="n">
        <v>-0.1</v>
      </c>
    </row>
    <row r="74">
      <c r="B74" s="14" t="inlineStr">
        <is>
          <t>W_f[2]</t>
        </is>
      </c>
      <c r="D74" s="14" t="n">
        <v>-0.1</v>
      </c>
      <c r="E74" s="14" t="n">
        <v>0.2</v>
      </c>
      <c r="F74" s="14" t="n">
        <v>0.2</v>
      </c>
      <c r="G74" s="14" t="n">
        <v>0.1</v>
      </c>
      <c r="H74" s="14" t="n">
        <v>0.1</v>
      </c>
      <c r="I74" s="14" t="n">
        <v>-0.2</v>
      </c>
      <c r="J74" s="14" t="n">
        <v>0.3</v>
      </c>
      <c r="M74" s="36" t="n">
        <v>0</v>
      </c>
      <c r="N74" s="36" t="n">
        <v>0</v>
      </c>
      <c r="O74" s="36" t="n">
        <v>0</v>
      </c>
      <c r="P74" s="36" t="n">
        <v>-0.0001</v>
      </c>
      <c r="Q74" s="36" t="n">
        <v>-0.0001</v>
      </c>
      <c r="R74" s="36" t="n">
        <v>-0.0001</v>
      </c>
      <c r="S74" s="36" t="n">
        <v>0</v>
      </c>
      <c r="V74" s="37" t="n">
        <v>-0.1</v>
      </c>
      <c r="W74" s="37" t="n">
        <v>0.2</v>
      </c>
      <c r="X74" s="37" t="n">
        <v>0.2</v>
      </c>
      <c r="Y74" s="37" t="n">
        <v>0.1</v>
      </c>
      <c r="Z74" s="37" t="n">
        <v>0.1</v>
      </c>
      <c r="AA74" s="37" t="n">
        <v>-0.2</v>
      </c>
      <c r="AB74" s="37" t="n">
        <v>0.3</v>
      </c>
    </row>
    <row r="75"/>
    <row r="76">
      <c r="B76" s="14" t="inlineStr">
        <is>
          <t>b_f</t>
        </is>
      </c>
      <c r="D76" s="14" t="n">
        <v>0.5</v>
      </c>
      <c r="E76" s="14" t="n">
        <v>0.5</v>
      </c>
      <c r="F76" s="14" t="n">
        <v>0.5</v>
      </c>
      <c r="M76" s="36" t="n">
        <v>-0.0015</v>
      </c>
      <c r="N76" s="36" t="n">
        <v>0.0009</v>
      </c>
      <c r="O76" s="36" t="n">
        <v>-0.0001</v>
      </c>
      <c r="V76" s="37" t="n">
        <v>0.5001</v>
      </c>
      <c r="W76" s="37" t="n">
        <v>0.4999</v>
      </c>
      <c r="X76" s="37" t="n">
        <v>0.5</v>
      </c>
    </row>
    <row r="77"/>
    <row r="78"/>
    <row r="79">
      <c r="B79" s="7" t="inlineStr">
        <is>
          <t>═══ Input Gate (W_i, b_i) Update ═══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4" t="n"/>
    </row>
    <row r="80"/>
    <row r="81">
      <c r="B81" s="18" t="inlineStr"/>
      <c r="D81" s="7" t="inlineStr">
        <is>
          <t>Original</t>
        </is>
      </c>
      <c r="E81" s="3" t="n"/>
      <c r="F81" s="3" t="n"/>
      <c r="G81" s="3" t="n"/>
      <c r="H81" s="3" t="n"/>
      <c r="I81" s="3" t="n"/>
      <c r="J81" s="3" t="n"/>
      <c r="K81" s="4" t="n"/>
      <c r="M81" s="2" t="inlineStr">
        <is>
          <t>Gradient</t>
        </is>
      </c>
      <c r="N81" s="3" t="n"/>
      <c r="O81" s="3" t="n"/>
      <c r="P81" s="3" t="n"/>
      <c r="Q81" s="3" t="n"/>
      <c r="R81" s="3" t="n"/>
      <c r="S81" s="3" t="n"/>
      <c r="T81" s="4" t="n"/>
      <c r="V81" s="35" t="inlineStr">
        <is>
          <t>Updated</t>
        </is>
      </c>
      <c r="W81" s="3" t="n"/>
      <c r="X81" s="3" t="n"/>
      <c r="Y81" s="3" t="n"/>
      <c r="Z81" s="3" t="n"/>
      <c r="AA81" s="3" t="n"/>
      <c r="AB81" s="3" t="n"/>
      <c r="AC81" s="4" t="n"/>
    </row>
    <row r="82">
      <c r="D82" s="18" t="inlineStr">
        <is>
          <t>h[0]</t>
        </is>
      </c>
      <c r="E82" s="18" t="inlineStr">
        <is>
          <t>h[1]</t>
        </is>
      </c>
      <c r="F82" s="18" t="inlineStr">
        <is>
          <t>h[2]</t>
        </is>
      </c>
      <c r="G82" s="18" t="inlineStr">
        <is>
          <t>x[0]</t>
        </is>
      </c>
      <c r="H82" s="18" t="inlineStr">
        <is>
          <t>x[1]</t>
        </is>
      </c>
      <c r="I82" s="18" t="inlineStr">
        <is>
          <t>x[2]</t>
        </is>
      </c>
      <c r="J82" s="18" t="inlineStr">
        <is>
          <t>x[3]</t>
        </is>
      </c>
      <c r="M82" s="18" t="inlineStr">
        <is>
          <t>h[0]</t>
        </is>
      </c>
      <c r="N82" s="18" t="inlineStr">
        <is>
          <t>h[1]</t>
        </is>
      </c>
      <c r="O82" s="18" t="inlineStr">
        <is>
          <t>h[2]</t>
        </is>
      </c>
      <c r="P82" s="18" t="inlineStr">
        <is>
          <t>x[0]</t>
        </is>
      </c>
      <c r="Q82" s="18" t="inlineStr">
        <is>
          <t>x[1]</t>
        </is>
      </c>
      <c r="R82" s="18" t="inlineStr">
        <is>
          <t>x[2]</t>
        </is>
      </c>
      <c r="S82" s="18" t="inlineStr">
        <is>
          <t>x[3]</t>
        </is>
      </c>
      <c r="V82" s="18" t="inlineStr">
        <is>
          <t>h[0]</t>
        </is>
      </c>
      <c r="W82" s="18" t="inlineStr">
        <is>
          <t>h[1]</t>
        </is>
      </c>
      <c r="X82" s="18" t="inlineStr">
        <is>
          <t>h[2]</t>
        </is>
      </c>
      <c r="Y82" s="18" t="inlineStr">
        <is>
          <t>x[0]</t>
        </is>
      </c>
      <c r="Z82" s="18" t="inlineStr">
        <is>
          <t>x[1]</t>
        </is>
      </c>
      <c r="AA82" s="18" t="inlineStr">
        <is>
          <t>x[2]</t>
        </is>
      </c>
      <c r="AB82" s="18" t="inlineStr">
        <is>
          <t>x[3]</t>
        </is>
      </c>
    </row>
    <row r="83">
      <c r="B83" s="15" t="inlineStr">
        <is>
          <t>W_i[0]</t>
        </is>
      </c>
      <c r="D83" s="15" t="n">
        <v>0.3</v>
      </c>
      <c r="E83" s="15" t="n">
        <v>-0.2</v>
      </c>
      <c r="F83" s="15" t="n">
        <v>0.1</v>
      </c>
      <c r="G83" s="15" t="n">
        <v>0.2</v>
      </c>
      <c r="H83" s="15" t="n">
        <v>0.1</v>
      </c>
      <c r="I83" s="15" t="n">
        <v>-0.1</v>
      </c>
      <c r="J83" s="15" t="n">
        <v>0.3</v>
      </c>
      <c r="M83" s="36" t="n">
        <v>-0.0002</v>
      </c>
      <c r="N83" s="36" t="n">
        <v>-0.0002</v>
      </c>
      <c r="O83" s="36" t="n">
        <v>0</v>
      </c>
      <c r="P83" s="36" t="n">
        <v>-0.0041</v>
      </c>
      <c r="Q83" s="36" t="n">
        <v>-0.0035</v>
      </c>
      <c r="R83" s="36" t="n">
        <v>-0.0028</v>
      </c>
      <c r="S83" s="36" t="n">
        <v>-0.0021</v>
      </c>
      <c r="V83" s="37" t="n">
        <v>0.3</v>
      </c>
      <c r="W83" s="37" t="n">
        <v>-0.2</v>
      </c>
      <c r="X83" s="37" t="n">
        <v>0.1</v>
      </c>
      <c r="Y83" s="37" t="n">
        <v>0.2004</v>
      </c>
      <c r="Z83" s="37" t="n">
        <v>0.1003</v>
      </c>
      <c r="AA83" s="37" t="n">
        <v>-0.0997</v>
      </c>
      <c r="AB83" s="37" t="n">
        <v>0.3002</v>
      </c>
    </row>
    <row r="84">
      <c r="B84" s="15" t="inlineStr">
        <is>
          <t>W_i[1]</t>
        </is>
      </c>
      <c r="D84" s="15" t="n">
        <v>-0.1</v>
      </c>
      <c r="E84" s="15" t="n">
        <v>0.2</v>
      </c>
      <c r="F84" s="15" t="n">
        <v>0.3</v>
      </c>
      <c r="G84" s="15" t="n">
        <v>0.1</v>
      </c>
      <c r="H84" s="15" t="n">
        <v>-0.2</v>
      </c>
      <c r="I84" s="15" t="n">
        <v>0.2</v>
      </c>
      <c r="J84" s="15" t="n">
        <v>0.1</v>
      </c>
      <c r="M84" s="36" t="n">
        <v>0.0001</v>
      </c>
      <c r="N84" s="36" t="n">
        <v>0.0001</v>
      </c>
      <c r="O84" s="36" t="n">
        <v>0</v>
      </c>
      <c r="P84" s="36" t="n">
        <v>0.0016</v>
      </c>
      <c r="Q84" s="36" t="n">
        <v>0.0013</v>
      </c>
      <c r="R84" s="36" t="n">
        <v>0.0011</v>
      </c>
      <c r="S84" s="36" t="n">
        <v>0.0008</v>
      </c>
      <c r="V84" s="37" t="n">
        <v>-0.1</v>
      </c>
      <c r="W84" s="37" t="n">
        <v>0.2</v>
      </c>
      <c r="X84" s="37" t="n">
        <v>0.3</v>
      </c>
      <c r="Y84" s="37" t="n">
        <v>0.0998</v>
      </c>
      <c r="Z84" s="37" t="n">
        <v>-0.2001</v>
      </c>
      <c r="AA84" s="37" t="n">
        <v>0.1999</v>
      </c>
      <c r="AB84" s="37" t="n">
        <v>0.0999</v>
      </c>
    </row>
    <row r="85">
      <c r="B85" s="15" t="inlineStr">
        <is>
          <t>W_i[2]</t>
        </is>
      </c>
      <c r="D85" s="15" t="n">
        <v>0.2</v>
      </c>
      <c r="E85" s="15" t="n">
        <v>0.1</v>
      </c>
      <c r="F85" s="15" t="n">
        <v>-0.1</v>
      </c>
      <c r="G85" s="15" t="n">
        <v>0.3</v>
      </c>
      <c r="H85" s="15" t="n">
        <v>0.2</v>
      </c>
      <c r="I85" s="15" t="n">
        <v>0.1</v>
      </c>
      <c r="J85" s="15" t="n">
        <v>-0.2</v>
      </c>
      <c r="M85" s="36" t="n">
        <v>0</v>
      </c>
      <c r="N85" s="36" t="n">
        <v>0</v>
      </c>
      <c r="O85" s="36" t="n">
        <v>0</v>
      </c>
      <c r="P85" s="36" t="n">
        <v>0.0002</v>
      </c>
      <c r="Q85" s="36" t="n">
        <v>0.0002</v>
      </c>
      <c r="R85" s="36" t="n">
        <v>0.0001</v>
      </c>
      <c r="S85" s="36" t="n">
        <v>0.0001</v>
      </c>
      <c r="V85" s="37" t="n">
        <v>0.2</v>
      </c>
      <c r="W85" s="37" t="n">
        <v>0.1</v>
      </c>
      <c r="X85" s="37" t="n">
        <v>-0.1</v>
      </c>
      <c r="Y85" s="37" t="n">
        <v>0.3</v>
      </c>
      <c r="Z85" s="37" t="n">
        <v>0.2</v>
      </c>
      <c r="AA85" s="37" t="n">
        <v>0.1</v>
      </c>
      <c r="AB85" s="37" t="n">
        <v>-0.2</v>
      </c>
    </row>
    <row r="86"/>
    <row r="87">
      <c r="B87" s="15" t="inlineStr">
        <is>
          <t>b_i</t>
        </is>
      </c>
      <c r="D87" s="15" t="n">
        <v>0</v>
      </c>
      <c r="E87" s="15" t="n">
        <v>0</v>
      </c>
      <c r="F87" s="15" t="n">
        <v>0</v>
      </c>
      <c r="M87" s="36" t="n">
        <v>-0.0069</v>
      </c>
      <c r="N87" s="36" t="n">
        <v>0.0027</v>
      </c>
      <c r="O87" s="36" t="n">
        <v>0.0003</v>
      </c>
      <c r="V87" s="37" t="n">
        <v>0.0007</v>
      </c>
      <c r="W87" s="37" t="n">
        <v>-0.0003</v>
      </c>
      <c r="X87" s="37" t="n">
        <v>0</v>
      </c>
    </row>
    <row r="88"/>
    <row r="89"/>
    <row r="90">
      <c r="B90" s="8" t="inlineStr">
        <is>
          <t>═══ Candidate (W_c, b_c) Update ═══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4" t="n"/>
    </row>
    <row r="91"/>
    <row r="92">
      <c r="B92" s="18" t="inlineStr"/>
      <c r="D92" s="8" t="inlineStr">
        <is>
          <t>Original</t>
        </is>
      </c>
      <c r="E92" s="3" t="n"/>
      <c r="F92" s="3" t="n"/>
      <c r="G92" s="3" t="n"/>
      <c r="H92" s="3" t="n"/>
      <c r="I92" s="3" t="n"/>
      <c r="J92" s="3" t="n"/>
      <c r="K92" s="4" t="n"/>
      <c r="M92" s="2" t="inlineStr">
        <is>
          <t>Gradient</t>
        </is>
      </c>
      <c r="N92" s="3" t="n"/>
      <c r="O92" s="3" t="n"/>
      <c r="P92" s="3" t="n"/>
      <c r="Q92" s="3" t="n"/>
      <c r="R92" s="3" t="n"/>
      <c r="S92" s="3" t="n"/>
      <c r="T92" s="4" t="n"/>
      <c r="V92" s="35" t="inlineStr">
        <is>
          <t>Updated</t>
        </is>
      </c>
      <c r="W92" s="3" t="n"/>
      <c r="X92" s="3" t="n"/>
      <c r="Y92" s="3" t="n"/>
      <c r="Z92" s="3" t="n"/>
      <c r="AA92" s="3" t="n"/>
      <c r="AB92" s="3" t="n"/>
      <c r="AC92" s="4" t="n"/>
    </row>
    <row r="93">
      <c r="D93" s="18" t="inlineStr">
        <is>
          <t>h[0]</t>
        </is>
      </c>
      <c r="E93" s="18" t="inlineStr">
        <is>
          <t>h[1]</t>
        </is>
      </c>
      <c r="F93" s="18" t="inlineStr">
        <is>
          <t>h[2]</t>
        </is>
      </c>
      <c r="G93" s="18" t="inlineStr">
        <is>
          <t>x[0]</t>
        </is>
      </c>
      <c r="H93" s="18" t="inlineStr">
        <is>
          <t>x[1]</t>
        </is>
      </c>
      <c r="I93" s="18" t="inlineStr">
        <is>
          <t>x[2]</t>
        </is>
      </c>
      <c r="J93" s="18" t="inlineStr">
        <is>
          <t>x[3]</t>
        </is>
      </c>
      <c r="M93" s="18" t="inlineStr">
        <is>
          <t>h[0]</t>
        </is>
      </c>
      <c r="N93" s="18" t="inlineStr">
        <is>
          <t>h[1]</t>
        </is>
      </c>
      <c r="O93" s="18" t="inlineStr">
        <is>
          <t>h[2]</t>
        </is>
      </c>
      <c r="P93" s="18" t="inlineStr">
        <is>
          <t>x[0]</t>
        </is>
      </c>
      <c r="Q93" s="18" t="inlineStr">
        <is>
          <t>x[1]</t>
        </is>
      </c>
      <c r="R93" s="18" t="inlineStr">
        <is>
          <t>x[2]</t>
        </is>
      </c>
      <c r="S93" s="18" t="inlineStr">
        <is>
          <t>x[3]</t>
        </is>
      </c>
      <c r="V93" s="18" t="inlineStr">
        <is>
          <t>h[0]</t>
        </is>
      </c>
      <c r="W93" s="18" t="inlineStr">
        <is>
          <t>h[1]</t>
        </is>
      </c>
      <c r="X93" s="18" t="inlineStr">
        <is>
          <t>h[2]</t>
        </is>
      </c>
      <c r="Y93" s="18" t="inlineStr">
        <is>
          <t>x[0]</t>
        </is>
      </c>
      <c r="Z93" s="18" t="inlineStr">
        <is>
          <t>x[1]</t>
        </is>
      </c>
      <c r="AA93" s="18" t="inlineStr">
        <is>
          <t>x[2]</t>
        </is>
      </c>
      <c r="AB93" s="18" t="inlineStr">
        <is>
          <t>x[3]</t>
        </is>
      </c>
    </row>
    <row r="94">
      <c r="B94" s="16" t="inlineStr">
        <is>
          <t>W_c[0]</t>
        </is>
      </c>
      <c r="D94" s="16" t="n">
        <v>0.1</v>
      </c>
      <c r="E94" s="16" t="n">
        <v>0.2</v>
      </c>
      <c r="F94" s="16" t="n">
        <v>-0.1</v>
      </c>
      <c r="G94" s="16" t="n">
        <v>0.2</v>
      </c>
      <c r="H94" s="16" t="n">
        <v>-0.1</v>
      </c>
      <c r="I94" s="16" t="n">
        <v>0.3</v>
      </c>
      <c r="J94" s="16" t="n">
        <v>0.1</v>
      </c>
      <c r="M94" s="36" t="n">
        <v>-0.0018</v>
      </c>
      <c r="N94" s="36" t="n">
        <v>-0.0018</v>
      </c>
      <c r="O94" s="36" t="n">
        <v>-0.0002</v>
      </c>
      <c r="P94" s="36" t="n">
        <v>-0.0396</v>
      </c>
      <c r="Q94" s="36" t="n">
        <v>-0.033</v>
      </c>
      <c r="R94" s="36" t="n">
        <v>-0.0264</v>
      </c>
      <c r="S94" s="36" t="n">
        <v>-0.0198</v>
      </c>
      <c r="V94" s="37" t="n">
        <v>0.1002</v>
      </c>
      <c r="W94" s="37" t="n">
        <v>0.2002</v>
      </c>
      <c r="X94" s="37" t="n">
        <v>-0.1</v>
      </c>
      <c r="Y94" s="37" t="n">
        <v>0.204</v>
      </c>
      <c r="Z94" s="37" t="n">
        <v>-0.09669999999999999</v>
      </c>
      <c r="AA94" s="37" t="n">
        <v>0.3026</v>
      </c>
      <c r="AB94" s="37" t="n">
        <v>0.102</v>
      </c>
    </row>
    <row r="95">
      <c r="B95" s="16" t="inlineStr">
        <is>
          <t>W_c[1]</t>
        </is>
      </c>
      <c r="D95" s="16" t="n">
        <v>0.2</v>
      </c>
      <c r="E95" s="16" t="n">
        <v>-0.1</v>
      </c>
      <c r="F95" s="16" t="n">
        <v>0.2</v>
      </c>
      <c r="G95" s="16" t="n">
        <v>0.1</v>
      </c>
      <c r="H95" s="16" t="n">
        <v>0.2</v>
      </c>
      <c r="I95" s="16" t="n">
        <v>-0.2</v>
      </c>
      <c r="J95" s="16" t="n">
        <v>0.2</v>
      </c>
      <c r="M95" s="36" t="n">
        <v>0.0011</v>
      </c>
      <c r="N95" s="36" t="n">
        <v>0.0011</v>
      </c>
      <c r="O95" s="36" t="n">
        <v>0.0001</v>
      </c>
      <c r="P95" s="36" t="n">
        <v>0.0231</v>
      </c>
      <c r="Q95" s="36" t="n">
        <v>0.0193</v>
      </c>
      <c r="R95" s="36" t="n">
        <v>0.0154</v>
      </c>
      <c r="S95" s="36" t="n">
        <v>0.0116</v>
      </c>
      <c r="V95" s="37" t="n">
        <v>0.1999</v>
      </c>
      <c r="W95" s="37" t="n">
        <v>-0.1001</v>
      </c>
      <c r="X95" s="37" t="n">
        <v>0.2</v>
      </c>
      <c r="Y95" s="37" t="n">
        <v>0.0977</v>
      </c>
      <c r="Z95" s="37" t="n">
        <v>0.1981</v>
      </c>
      <c r="AA95" s="37" t="n">
        <v>-0.2015</v>
      </c>
      <c r="AB95" s="37" t="n">
        <v>0.1988</v>
      </c>
    </row>
    <row r="96">
      <c r="B96" s="16" t="inlineStr">
        <is>
          <t>W_c[2]</t>
        </is>
      </c>
      <c r="D96" s="16" t="n">
        <v>-0.1</v>
      </c>
      <c r="E96" s="16" t="n">
        <v>0.3</v>
      </c>
      <c r="F96" s="16" t="n">
        <v>0.1</v>
      </c>
      <c r="G96" s="16" t="n">
        <v>-0.2</v>
      </c>
      <c r="H96" s="16" t="n">
        <v>0.1</v>
      </c>
      <c r="I96" s="16" t="n">
        <v>0.2</v>
      </c>
      <c r="J96" s="16" t="n">
        <v>-0.1</v>
      </c>
      <c r="M96" s="36" t="n">
        <v>-0.0015</v>
      </c>
      <c r="N96" s="36" t="n">
        <v>-0.0015</v>
      </c>
      <c r="O96" s="36" t="n">
        <v>-0.0002</v>
      </c>
      <c r="P96" s="36" t="n">
        <v>-0.033</v>
      </c>
      <c r="Q96" s="36" t="n">
        <v>-0.0275</v>
      </c>
      <c r="R96" s="36" t="n">
        <v>-0.022</v>
      </c>
      <c r="S96" s="36" t="n">
        <v>-0.0165</v>
      </c>
      <c r="V96" s="37" t="n">
        <v>-0.0998</v>
      </c>
      <c r="W96" s="37" t="n">
        <v>0.3001</v>
      </c>
      <c r="X96" s="37" t="n">
        <v>0.1</v>
      </c>
      <c r="Y96" s="37" t="n">
        <v>-0.1967</v>
      </c>
      <c r="Z96" s="37" t="n">
        <v>0.1027</v>
      </c>
      <c r="AA96" s="37" t="n">
        <v>0.2022</v>
      </c>
      <c r="AB96" s="37" t="n">
        <v>-0.0984</v>
      </c>
    </row>
    <row r="97"/>
    <row r="98">
      <c r="B98" s="16" t="inlineStr">
        <is>
          <t>b_c</t>
        </is>
      </c>
      <c r="D98" s="16" t="n">
        <v>0</v>
      </c>
      <c r="E98" s="16" t="n">
        <v>0</v>
      </c>
      <c r="F98" s="16" t="n">
        <v>0</v>
      </c>
      <c r="M98" s="36" t="n">
        <v>-0.0659</v>
      </c>
      <c r="N98" s="36" t="n">
        <v>0.0385</v>
      </c>
      <c r="O98" s="36" t="n">
        <v>-0.055</v>
      </c>
      <c r="V98" s="37" t="n">
        <v>0.0066</v>
      </c>
      <c r="W98" s="37" t="n">
        <v>-0.0039</v>
      </c>
      <c r="X98" s="37" t="n">
        <v>0.0055</v>
      </c>
    </row>
    <row r="99"/>
    <row r="100"/>
    <row r="101">
      <c r="B101" s="9" t="inlineStr">
        <is>
          <t>═══ Output Gate (W_o, b_o) Update ═══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4" t="n"/>
    </row>
    <row r="102"/>
    <row r="103">
      <c r="B103" s="18" t="inlineStr"/>
      <c r="D103" s="9" t="inlineStr">
        <is>
          <t>Original</t>
        </is>
      </c>
      <c r="E103" s="3" t="n"/>
      <c r="F103" s="3" t="n"/>
      <c r="G103" s="3" t="n"/>
      <c r="H103" s="3" t="n"/>
      <c r="I103" s="3" t="n"/>
      <c r="J103" s="3" t="n"/>
      <c r="K103" s="4" t="n"/>
      <c r="M103" s="2" t="inlineStr">
        <is>
          <t>Gradient</t>
        </is>
      </c>
      <c r="N103" s="3" t="n"/>
      <c r="O103" s="3" t="n"/>
      <c r="P103" s="3" t="n"/>
      <c r="Q103" s="3" t="n"/>
      <c r="R103" s="3" t="n"/>
      <c r="S103" s="3" t="n"/>
      <c r="T103" s="4" t="n"/>
      <c r="V103" s="35" t="inlineStr">
        <is>
          <t>Updated</t>
        </is>
      </c>
      <c r="W103" s="3" t="n"/>
      <c r="X103" s="3" t="n"/>
      <c r="Y103" s="3" t="n"/>
      <c r="Z103" s="3" t="n"/>
      <c r="AA103" s="3" t="n"/>
      <c r="AB103" s="3" t="n"/>
      <c r="AC103" s="4" t="n"/>
    </row>
    <row r="104">
      <c r="D104" s="18" t="inlineStr">
        <is>
          <t>h[0]</t>
        </is>
      </c>
      <c r="E104" s="18" t="inlineStr">
        <is>
          <t>h[1]</t>
        </is>
      </c>
      <c r="F104" s="18" t="inlineStr">
        <is>
          <t>h[2]</t>
        </is>
      </c>
      <c r="G104" s="18" t="inlineStr">
        <is>
          <t>x[0]</t>
        </is>
      </c>
      <c r="H104" s="18" t="inlineStr">
        <is>
          <t>x[1]</t>
        </is>
      </c>
      <c r="I104" s="18" t="inlineStr">
        <is>
          <t>x[2]</t>
        </is>
      </c>
      <c r="J104" s="18" t="inlineStr">
        <is>
          <t>x[3]</t>
        </is>
      </c>
      <c r="M104" s="18" t="inlineStr">
        <is>
          <t>h[0]</t>
        </is>
      </c>
      <c r="N104" s="18" t="inlineStr">
        <is>
          <t>h[1]</t>
        </is>
      </c>
      <c r="O104" s="18" t="inlineStr">
        <is>
          <t>h[2]</t>
        </is>
      </c>
      <c r="P104" s="18" t="inlineStr">
        <is>
          <t>x[0]</t>
        </is>
      </c>
      <c r="Q104" s="18" t="inlineStr">
        <is>
          <t>x[1]</t>
        </is>
      </c>
      <c r="R104" s="18" t="inlineStr">
        <is>
          <t>x[2]</t>
        </is>
      </c>
      <c r="S104" s="18" t="inlineStr">
        <is>
          <t>x[3]</t>
        </is>
      </c>
      <c r="V104" s="18" t="inlineStr">
        <is>
          <t>h[0]</t>
        </is>
      </c>
      <c r="W104" s="18" t="inlineStr">
        <is>
          <t>h[1]</t>
        </is>
      </c>
      <c r="X104" s="18" t="inlineStr">
        <is>
          <t>h[2]</t>
        </is>
      </c>
      <c r="Y104" s="18" t="inlineStr">
        <is>
          <t>x[0]</t>
        </is>
      </c>
      <c r="Z104" s="18" t="inlineStr">
        <is>
          <t>x[1]</t>
        </is>
      </c>
      <c r="AA104" s="18" t="inlineStr">
        <is>
          <t>x[2]</t>
        </is>
      </c>
      <c r="AB104" s="18" t="inlineStr">
        <is>
          <t>x[3]</t>
        </is>
      </c>
    </row>
    <row r="105">
      <c r="B105" s="21" t="inlineStr">
        <is>
          <t>W_o[0]</t>
        </is>
      </c>
      <c r="D105" s="21" t="n">
        <v>0.2</v>
      </c>
      <c r="E105" s="21" t="n">
        <v>0.1</v>
      </c>
      <c r="F105" s="21" t="n">
        <v>-0.2</v>
      </c>
      <c r="G105" s="21" t="n">
        <v>0.1</v>
      </c>
      <c r="H105" s="21" t="n">
        <v>0.2</v>
      </c>
      <c r="I105" s="21" t="n">
        <v>-0.1</v>
      </c>
      <c r="J105" s="21" t="n">
        <v>0.2</v>
      </c>
      <c r="M105" s="36" t="n">
        <v>-0.0003</v>
      </c>
      <c r="N105" s="36" t="n">
        <v>-0.0003</v>
      </c>
      <c r="O105" s="36" t="n">
        <v>0</v>
      </c>
      <c r="P105" s="36" t="n">
        <v>-0.0055</v>
      </c>
      <c r="Q105" s="36" t="n">
        <v>-0.0046</v>
      </c>
      <c r="R105" s="36" t="n">
        <v>-0.0037</v>
      </c>
      <c r="S105" s="36" t="n">
        <v>-0.0028</v>
      </c>
      <c r="V105" s="37" t="n">
        <v>0.2</v>
      </c>
      <c r="W105" s="37" t="n">
        <v>0.1</v>
      </c>
      <c r="X105" s="37" t="n">
        <v>-0.2</v>
      </c>
      <c r="Y105" s="37" t="n">
        <v>0.1006</v>
      </c>
      <c r="Z105" s="37" t="n">
        <v>0.2005</v>
      </c>
      <c r="AA105" s="37" t="n">
        <v>-0.09959999999999999</v>
      </c>
      <c r="AB105" s="37" t="n">
        <v>0.2003</v>
      </c>
    </row>
    <row r="106">
      <c r="B106" s="21" t="inlineStr">
        <is>
          <t>W_o[1]</t>
        </is>
      </c>
      <c r="D106" s="21" t="n">
        <v>-0.1</v>
      </c>
      <c r="E106" s="21" t="n">
        <v>0.2</v>
      </c>
      <c r="F106" s="21" t="n">
        <v>0.1</v>
      </c>
      <c r="G106" s="21" t="n">
        <v>0.2</v>
      </c>
      <c r="H106" s="21" t="n">
        <v>-0.1</v>
      </c>
      <c r="I106" s="21" t="n">
        <v>0.2</v>
      </c>
      <c r="J106" s="21" t="n">
        <v>0.1</v>
      </c>
      <c r="M106" s="36" t="n">
        <v>0.0001</v>
      </c>
      <c r="N106" s="36" t="n">
        <v>0.0001</v>
      </c>
      <c r="O106" s="36" t="n">
        <v>0</v>
      </c>
      <c r="P106" s="36" t="n">
        <v>0.0023</v>
      </c>
      <c r="Q106" s="36" t="n">
        <v>0.0019</v>
      </c>
      <c r="R106" s="36" t="n">
        <v>0.0015</v>
      </c>
      <c r="S106" s="36" t="n">
        <v>0.0011</v>
      </c>
      <c r="V106" s="37" t="n">
        <v>-0.1</v>
      </c>
      <c r="W106" s="37" t="n">
        <v>0.2</v>
      </c>
      <c r="X106" s="37" t="n">
        <v>0.1</v>
      </c>
      <c r="Y106" s="37" t="n">
        <v>0.1998</v>
      </c>
      <c r="Z106" s="37" t="n">
        <v>-0.1002</v>
      </c>
      <c r="AA106" s="37" t="n">
        <v>0.1998</v>
      </c>
      <c r="AB106" s="37" t="n">
        <v>0.0999</v>
      </c>
    </row>
    <row r="107">
      <c r="B107" s="21" t="inlineStr">
        <is>
          <t>W_o[2]</t>
        </is>
      </c>
      <c r="D107" s="21" t="n">
        <v>0.1</v>
      </c>
      <c r="E107" s="21" t="n">
        <v>-0.1</v>
      </c>
      <c r="F107" s="21" t="n">
        <v>0.2</v>
      </c>
      <c r="G107" s="21" t="n">
        <v>-0.1</v>
      </c>
      <c r="H107" s="21" t="n">
        <v>0.3</v>
      </c>
      <c r="I107" s="21" t="n">
        <v>0.1</v>
      </c>
      <c r="J107" s="21" t="n">
        <v>-0.2</v>
      </c>
      <c r="M107" s="36" t="n">
        <v>0</v>
      </c>
      <c r="N107" s="36" t="n">
        <v>0</v>
      </c>
      <c r="O107" s="36" t="n">
        <v>0</v>
      </c>
      <c r="P107" s="36" t="n">
        <v>0.0001</v>
      </c>
      <c r="Q107" s="36" t="n">
        <v>0.0001</v>
      </c>
      <c r="R107" s="36" t="n">
        <v>0.0001</v>
      </c>
      <c r="S107" s="36" t="n">
        <v>0.0001</v>
      </c>
      <c r="V107" s="37" t="n">
        <v>0.1</v>
      </c>
      <c r="W107" s="37" t="n">
        <v>-0.1</v>
      </c>
      <c r="X107" s="37" t="n">
        <v>0.2</v>
      </c>
      <c r="Y107" s="37" t="n">
        <v>-0.1</v>
      </c>
      <c r="Z107" s="37" t="n">
        <v>0.3</v>
      </c>
      <c r="AA107" s="37" t="n">
        <v>0.1</v>
      </c>
      <c r="AB107" s="37" t="n">
        <v>-0.2</v>
      </c>
    </row>
    <row r="108"/>
    <row r="109">
      <c r="B109" s="21" t="inlineStr">
        <is>
          <t>b_o</t>
        </is>
      </c>
      <c r="D109" s="21" t="n">
        <v>0</v>
      </c>
      <c r="E109" s="21" t="n">
        <v>0</v>
      </c>
      <c r="F109" s="21" t="n">
        <v>0</v>
      </c>
      <c r="M109" s="36" t="n">
        <v>-0.0092</v>
      </c>
      <c r="N109" s="36" t="n">
        <v>0.0038</v>
      </c>
      <c r="O109" s="36" t="n">
        <v>0.0002</v>
      </c>
      <c r="V109" s="37" t="n">
        <v>0.0009</v>
      </c>
      <c r="W109" s="37" t="n">
        <v>-0.0004</v>
      </c>
      <c r="X109" s="37" t="n">
        <v>0</v>
      </c>
    </row>
    <row r="110"/>
    <row r="111"/>
    <row r="112">
      <c r="B112" s="1" t="inlineStr">
        <is>
          <t>═══ BPTT (Backpropagation Through Time) ═══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4" t="n"/>
    </row>
    <row r="113"/>
    <row r="114">
      <c r="B114" t="inlineStr">
        <is>
          <t>• Above calculation shows only gradient of last timestep (t=3)</t>
        </is>
      </c>
    </row>
    <row r="115">
      <c r="B115" t="inlineStr">
        <is>
          <t>• Actually calculate and sum gradients at all timesteps</t>
        </is>
      </c>
    </row>
    <row r="116"/>
    <row r="117">
      <c r="B117" t="inlineStr">
        <is>
          <t>• Cell State's gradient propagation:</t>
        </is>
      </c>
    </row>
    <row r="118">
      <c r="B118" t="inlineStr">
        <is>
          <t xml:space="preserve">  dL/dc_{t-1} = dL/dc_t ⊙ f_t + (gradient from next time step)</t>
        </is>
      </c>
    </row>
    <row r="119"/>
    <row r="120">
      <c r="B120" t="inlineStr">
        <is>
          <t>• LSTM's advantage: If f_t ≈ 1, gradient passes through almost unchanged!</t>
        </is>
      </c>
    </row>
    <row r="121">
      <c r="B121" t="inlineStr">
        <is>
          <t xml:space="preserve">  (Unlike RNN, connected by addition not multiplication, preventing vanishing)</t>
        </is>
      </c>
    </row>
  </sheetData>
  <mergeCells count="22">
    <mergeCell ref="B18:AE18"/>
    <mergeCell ref="V92:AC92"/>
    <mergeCell ref="M92:T92"/>
    <mergeCell ref="D81:K81"/>
    <mergeCell ref="B2:AH2"/>
    <mergeCell ref="B101:AE101"/>
    <mergeCell ref="M70:T70"/>
    <mergeCell ref="V81:AC81"/>
    <mergeCell ref="B112:AE112"/>
    <mergeCell ref="D70:K70"/>
    <mergeCell ref="M81:T81"/>
    <mergeCell ref="B6:AE6"/>
    <mergeCell ref="B68:AE68"/>
    <mergeCell ref="D103:K103"/>
    <mergeCell ref="V103:AC103"/>
    <mergeCell ref="V70:AC70"/>
    <mergeCell ref="B26:AE26"/>
    <mergeCell ref="B79:AE79"/>
    <mergeCell ref="D92:K92"/>
    <mergeCell ref="B54:AE54"/>
    <mergeCell ref="B90:AE90"/>
    <mergeCell ref="M103:T10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/>
    <row r="2">
      <c r="B2" s="1" t="inlineStr">
        <is>
          <t>Answer Key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</row>
    <row r="3"/>
    <row r="4">
      <c r="B4" s="22" t="inlineStr">
        <is>
          <t>Input: 'this movie is good' (y_true = 1)</t>
        </is>
      </c>
    </row>
    <row r="5"/>
    <row r="6">
      <c r="B6" s="22" t="inlineStr">
        <is>
          <t>t=0 'this':</t>
        </is>
      </c>
    </row>
    <row r="7">
      <c r="B7" s="29" t="inlineStr">
        <is>
          <t xml:space="preserve">  f_t = [0.6434, 0.6083, 0.6548]</t>
        </is>
      </c>
    </row>
    <row r="8">
      <c r="B8" s="30" t="inlineStr">
        <is>
          <t xml:space="preserve">  i_t = [0.5374, 0.5025, 0.5025]</t>
        </is>
      </c>
    </row>
    <row r="9">
      <c r="B9" s="31" t="inlineStr">
        <is>
          <t xml:space="preserve">  c̃_t = [0.03, 0.1194, -0.0798]</t>
        </is>
      </c>
    </row>
    <row r="10">
      <c r="B10" s="32" t="inlineStr">
        <is>
          <t xml:space="preserve">  o_t = [0.5275, 0.51, 0.485]</t>
        </is>
      </c>
    </row>
    <row r="11">
      <c r="B11" s="33" t="inlineStr">
        <is>
          <t xml:space="preserve">  c_t = [0.0161, 0.06, -0.0401]</t>
        </is>
      </c>
    </row>
    <row r="12">
      <c r="B12" s="34" t="inlineStr">
        <is>
          <t xml:space="preserve">  h_t = [0.0085, 0.0306, -0.0194]</t>
        </is>
      </c>
    </row>
    <row r="13"/>
    <row r="14">
      <c r="B14" s="22" t="inlineStr">
        <is>
          <t>t=1 'movie':</t>
        </is>
      </c>
    </row>
    <row r="15">
      <c r="B15" s="29" t="inlineStr">
        <is>
          <t xml:space="preserve">  f_t = [0.6426, 0.6443, 0.6251]</t>
        </is>
      </c>
    </row>
    <row r="16">
      <c r="B16" s="30" t="inlineStr">
        <is>
          <t xml:space="preserve">  i_t = [0.5186, 0.5049, 0.5638]</t>
        </is>
      </c>
    </row>
    <row r="17">
      <c r="B17" s="31" t="inlineStr">
        <is>
          <t xml:space="preserve">  c̃_t = [0.1282, 0.0447, -0.0136]</t>
        </is>
      </c>
    </row>
    <row r="18">
      <c r="B18" s="32" t="inlineStr">
        <is>
          <t xml:space="preserve">  o_t = [0.5197, 0.5258, 0.5185]</t>
        </is>
      </c>
    </row>
    <row r="19">
      <c r="B19" s="33" t="inlineStr">
        <is>
          <t xml:space="preserve">  c_t = [0.0768, 0.0612, -0.0328]</t>
        </is>
      </c>
    </row>
    <row r="20">
      <c r="B20" s="34" t="inlineStr">
        <is>
          <t xml:space="preserve">  h_t = [0.0399, 0.0322, -0.017]</t>
        </is>
      </c>
    </row>
    <row r="21"/>
    <row r="22">
      <c r="B22" s="22" t="inlineStr">
        <is>
          <t>t=2 'is':</t>
        </is>
      </c>
    </row>
    <row r="23">
      <c r="B23" s="29" t="inlineStr">
        <is>
          <t xml:space="preserve">  f_t = [0.6137, 0.6427, 0.6269]</t>
        </is>
      </c>
    </row>
    <row r="24">
      <c r="B24" s="30" t="inlineStr">
        <is>
          <t xml:space="preserve">  i_t = [0.506, 0.4943, 0.5032]</t>
        </is>
      </c>
    </row>
    <row r="25">
      <c r="B25" s="31" t="inlineStr">
        <is>
          <t xml:space="preserve">  c̃_t = [0.0121, 0.0313, 0.0539]</t>
        </is>
      </c>
    </row>
    <row r="26">
      <c r="B26" s="32" t="inlineStr">
        <is>
          <t xml:space="preserve">  o_t = [0.5136, 0.4977, 0.5143]</t>
        </is>
      </c>
    </row>
    <row r="27">
      <c r="B27" s="33" t="inlineStr">
        <is>
          <t xml:space="preserve">  c_t = [0.0533, 0.0549, 0.0066]</t>
        </is>
      </c>
    </row>
    <row r="28">
      <c r="B28" s="34" t="inlineStr">
        <is>
          <t xml:space="preserve">  h_t = [0.0273, 0.0273, 0.0034]</t>
        </is>
      </c>
    </row>
    <row r="29"/>
    <row r="30">
      <c r="B30" s="22" t="inlineStr">
        <is>
          <t>t=3 'good':</t>
        </is>
      </c>
    </row>
    <row r="31">
      <c r="B31" s="29" t="inlineStr">
        <is>
          <t xml:space="preserve">  f_t = [0.6644, 0.6548, 0.651]</t>
        </is>
      </c>
    </row>
    <row r="32">
      <c r="B32" s="30" t="inlineStr">
        <is>
          <t xml:space="preserve">  i_t = [0.5555, 0.5184, 0.5666]</t>
        </is>
      </c>
    </row>
    <row r="33">
      <c r="B33" s="31" t="inlineStr">
        <is>
          <t xml:space="preserve">  c̃_t = [0.224, 0.1424, -0.0142]</t>
        </is>
      </c>
    </row>
    <row r="34">
      <c r="B34" s="32" t="inlineStr">
        <is>
          <t xml:space="preserve">  o_t = [0.5467, 0.5456, 0.5177]</t>
        </is>
      </c>
    </row>
    <row r="35">
      <c r="B35" s="33" t="inlineStr">
        <is>
          <t xml:space="preserve">  c_t = [0.1598, 0.1098, -0.0038]</t>
        </is>
      </c>
    </row>
    <row r="36">
      <c r="B36" s="34" t="inlineStr">
        <is>
          <t xml:space="preserve">  h_t = [0.0867, 0.0597, -0.0019]</t>
        </is>
      </c>
    </row>
    <row r="37"/>
    <row r="38">
      <c r="B38" s="11" t="inlineStr">
        <is>
          <t>h_final = [0.0867, 0.0597, -0.0019]</t>
        </is>
      </c>
    </row>
    <row r="39">
      <c r="B39" s="26" t="inlineStr">
        <is>
          <t>y_pred = 0.5311</t>
        </is>
      </c>
    </row>
    <row r="40">
      <c r="B40" s="2" t="inlineStr">
        <is>
          <t>Loss = 0.6328</t>
        </is>
      </c>
    </row>
  </sheetData>
  <mergeCells count="1"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2026-01-20T06:28:17Z</dcterms:created>
  <dcterms:modified xmlns:dcterms="http://purl.org/dc/terms/" xmlns:xsi="http://www.w3.org/2001/XMLSchema-instance" xsi:type="dcterms:W3CDTF">2026-01-20T08:29:01Z</dcterms:modified>
</cp:coreProperties>
</file>