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ihwankim/Downloads/Excel-worksheets 2/"/>
    </mc:Choice>
  </mc:AlternateContent>
  <xr:revisionPtr revIDLastSave="0" documentId="13_ncr:1_{AB375AF8-0303-084A-9CA8-2AEF4AAAF909}" xr6:coauthVersionLast="47" xr6:coauthVersionMax="47" xr10:uidLastSave="{00000000-0000-0000-0000-000000000000}"/>
  <bookViews>
    <workbookView xWindow="4300" yWindow="680" windowWidth="29900" windowHeight="19580" activeTab="7" xr2:uid="{00000000-000D-0000-FFFF-FFFF00000000}"/>
  </bookViews>
  <sheets>
    <sheet name="Overview" sheetId="1" r:id="rId1"/>
    <sheet name="Embedding" sheetId="2" r:id="rId2"/>
    <sheet name="Parameters" sheetId="3" r:id="rId3"/>
    <sheet name="Encoder" sheetId="4" r:id="rId4"/>
    <sheet name="Decoder_TeacherForcing" sheetId="5" r:id="rId5"/>
    <sheet name="Decoder_Autoregressive" sheetId="6" r:id="rId6"/>
    <sheet name="Comparison" sheetId="7" r:id="rId7"/>
    <sheet name="Backward" sheetId="8" r:id="rId8"/>
    <sheet name="Answer_Ke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8" l="1"/>
  <c r="D84" i="8"/>
  <c r="D83" i="8"/>
  <c r="E74" i="8"/>
  <c r="E73" i="8"/>
  <c r="E72" i="8"/>
  <c r="N43" i="8"/>
  <c r="N42" i="8"/>
  <c r="N41" i="8"/>
  <c r="D37" i="8"/>
  <c r="D36" i="8"/>
  <c r="D35" i="8"/>
  <c r="P96" i="4"/>
  <c r="C96" i="4"/>
  <c r="P95" i="4"/>
  <c r="C95" i="4"/>
  <c r="P94" i="4"/>
  <c r="C94" i="4"/>
  <c r="P91" i="4"/>
  <c r="C91" i="4"/>
  <c r="P90" i="4"/>
  <c r="C90" i="4"/>
  <c r="P89" i="4"/>
  <c r="C89" i="4"/>
  <c r="P86" i="4"/>
  <c r="P85" i="4"/>
  <c r="P84" i="4"/>
  <c r="P81" i="4"/>
  <c r="P80" i="4"/>
  <c r="P79" i="4"/>
  <c r="P69" i="4"/>
  <c r="C69" i="4"/>
  <c r="P68" i="4"/>
  <c r="C68" i="4"/>
  <c r="P67" i="4"/>
  <c r="C67" i="4"/>
  <c r="P64" i="4"/>
  <c r="C64" i="4"/>
  <c r="P63" i="4"/>
  <c r="C63" i="4"/>
  <c r="P62" i="4"/>
  <c r="C62" i="4"/>
  <c r="P59" i="4"/>
  <c r="P58" i="4"/>
  <c r="P57" i="4"/>
  <c r="P54" i="4"/>
  <c r="P53" i="4"/>
  <c r="P52" i="4"/>
  <c r="P42" i="4"/>
  <c r="C42" i="4"/>
  <c r="P41" i="4"/>
  <c r="C41" i="4"/>
  <c r="P40" i="4"/>
  <c r="C40" i="4"/>
  <c r="P37" i="4"/>
  <c r="C37" i="4"/>
  <c r="P36" i="4"/>
  <c r="C36" i="4"/>
  <c r="P35" i="4"/>
  <c r="C35" i="4"/>
  <c r="P32" i="4"/>
  <c r="P31" i="4"/>
  <c r="P30" i="4"/>
  <c r="P27" i="4"/>
  <c r="P26" i="4"/>
  <c r="P25" i="4"/>
</calcChain>
</file>

<file path=xl/sharedStrings.xml><?xml version="1.0" encoding="utf-8"?>
<sst xmlns="http://schemas.openxmlformats.org/spreadsheetml/2006/main" count="564" uniqueCount="301">
  <si>
    <t>[Description] Sequence-to-Sequence model for machine translation: Encoder compresses source, Decoder generates target.</t>
  </si>
  <si>
    <t>Seq2Seq (Encoder-Decoder) for Machine Translation</t>
  </si>
  <si>
    <t>Task: English → Korean Translation</t>
  </si>
  <si>
    <t>Input: "I love you"</t>
  </si>
  <si>
    <t>Output: "I love you"</t>
  </si>
  <si>
    <t>═══ Seq2Seq Architecture ═══</t>
  </si>
  <si>
    <t>ENCODER</t>
  </si>
  <si>
    <t>DECODER</t>
  </si>
  <si>
    <t>I</t>
  </si>
  <si>
    <t>love</t>
  </si>
  <si>
    <t>you</t>
  </si>
  <si>
    <t>&lt;SOS&gt;</t>
  </si>
  <si>
    <t>↓</t>
  </si>
  <si>
    <t>h₁</t>
  </si>
  <si>
    <t>→</t>
  </si>
  <si>
    <t>h₂</t>
  </si>
  <si>
    <t>h₃</t>
  </si>
  <si>
    <t>Context</t>
  </si>
  <si>
    <t>s₁</t>
  </si>
  <si>
    <t>s₂</t>
  </si>
  <si>
    <t>s₃</t>
  </si>
  <si>
    <t>s₄</t>
  </si>
  <si>
    <t>&lt;EOS&gt;</t>
  </si>
  <si>
    <t>═══ Key Concepts ═══</t>
  </si>
  <si>
    <t>Encoder:</t>
  </si>
  <si>
    <t>Process input sequence to generate Context Vector</t>
  </si>
  <si>
    <t>Context Vector:</t>
  </si>
  <si>
    <t>Fixed-size vector compressing input sequence information</t>
  </si>
  <si>
    <t>Decoder:</t>
  </si>
  <si>
    <t>Receive Context Vector and generate output sequence</t>
  </si>
  <si>
    <t>Teacher Forcing:</t>
  </si>
  <si>
    <t>Use ground truth as next input during training</t>
  </si>
  <si>
    <t>Autoregressive:</t>
  </si>
  <si>
    <t>Use prediction as next input during inference</t>
  </si>
  <si>
    <t>[Description] Source and target languages have separate embedding matrices to handle different vocabularies.</t>
  </si>
  <si>
    <t>Vocabulary &amp; Embedding</t>
  </si>
  <si>
    <t>Source Vocabulary (English)</t>
  </si>
  <si>
    <t>Word</t>
  </si>
  <si>
    <t>ID</t>
  </si>
  <si>
    <t>d0</t>
  </si>
  <si>
    <t>d1</t>
  </si>
  <si>
    <t>d2</t>
  </si>
  <si>
    <t>d3</t>
  </si>
  <si>
    <t>&lt;PAD&gt;</t>
  </si>
  <si>
    <t>Target Vocabulary (Korean)</t>
  </si>
  <si>
    <t>[Description] Seq2Seq parameters: Encoder RNN, Decoder RNN, embeddings for both languages, output projection.</t>
  </si>
  <si>
    <t>Seq2Seq Parameters</t>
  </si>
  <si>
    <t>═══ Encoder Parameters ═══</t>
  </si>
  <si>
    <t>enc_Wxh (4×3)</t>
  </si>
  <si>
    <t>enc_bh (3)</t>
  </si>
  <si>
    <t>enc_Whh (3×3)</t>
  </si>
  <si>
    <t>═══ Decoder Parameters ═══</t>
  </si>
  <si>
    <t>dec_Wxh (4×3)</t>
  </si>
  <si>
    <t>dec_bh (3)</t>
  </si>
  <si>
    <t>dec_Whh (3×3)</t>
  </si>
  <si>
    <t>dec_Why (6×3)</t>
  </si>
  <si>
    <t>dec_by (6)</t>
  </si>
  <si>
    <t>[Description] Encoder reads source sentence and compresses it into a fixed-size context vector (final hidden state).</t>
  </si>
  <si>
    <t>Encoder Forward Pass</t>
  </si>
  <si>
    <t>enc_Wxh:</t>
  </si>
  <si>
    <t>enc_Whh:</t>
  </si>
  <si>
    <t>enc_bh:</t>
  </si>
  <si>
    <t>═══ Input: "I love you" ═══</t>
  </si>
  <si>
    <t>──── t=0: 'I' (ID=3) ────</t>
  </si>
  <si>
    <t>e_t =</t>
  </si>
  <si>
    <t>h_{t-1} =</t>
  </si>
  <si>
    <t>① enc_Wxh^T · e_t:</t>
  </si>
  <si>
    <t xml:space="preserve">  [0]</t>
  </si>
  <si>
    <t>'= (0.2×0.3) + (0.1×-0.2) + (-0.2×0.4) + (0.3×0.1)</t>
  </si>
  <si>
    <t xml:space="preserve">  [1]</t>
  </si>
  <si>
    <t>'= (-0.1×0.3) + (0.3×-0.2) + (0.2×0.4) + (-0.1×0.1)</t>
  </si>
  <si>
    <t xml:space="preserve">  [2]</t>
  </si>
  <si>
    <t>'= (0.3×0.3) + (-0.2×-0.2) + (0.1×0.4) + (0.2×0.1)</t>
  </si>
  <si>
    <t>② enc_Whh^T · h_{t-1}:</t>
  </si>
  <si>
    <t>'= (0.2×0.0) + (0.1×0.0) + (-0.1×0.0)</t>
  </si>
  <si>
    <t>'= (-0.1×0.0) + (0.3×0.0) + (0.2×0.0)</t>
  </si>
  <si>
    <t>'= (0.1×0.0) + (-0.2×0.0) + (0.2×0.0)</t>
  </si>
  <si>
    <t>③ z_h = ① + ② + enc_bh:</t>
  </si>
  <si>
    <t>④ h_t = tanh(z_h):</t>
  </si>
  <si>
    <t>→ h_t =</t>
  </si>
  <si>
    <t>──── t=1: 'love' (ID=4) ────</t>
  </si>
  <si>
    <t>'= (0.2×0.5) + (0.1×0.3) + (-0.2×-0.1) + (0.3×0.4)</t>
  </si>
  <si>
    <t>'= (-0.1×0.5) + (0.3×0.3) + (0.2×-0.1) + (-0.1×0.4)</t>
  </si>
  <si>
    <t>'= (0.3×0.5) + (-0.2×0.3) + (0.1×-0.1) + (0.2×0.4)</t>
  </si>
  <si>
    <t>'= (0.2×0.0898) + (0.1×-0.0699) + (-0.1×0.2355)</t>
  </si>
  <si>
    <t>'= (-0.1×0.0898) + (0.3×-0.0699) + (0.2×0.2355)</t>
  </si>
  <si>
    <t>'= (0.1×0.0898) + (-0.2×-0.0699) + (0.2×0.2355)</t>
  </si>
  <si>
    <t>──── t=2: 'you' (ID=5) ────</t>
  </si>
  <si>
    <t>'= (0.2×-0.2) + (0.1×0.4) + (-0.2×0.3) + (0.3×-0.3)</t>
  </si>
  <si>
    <t>'= (-0.1×-0.2) + (0.3×0.4) + (0.2×0.3) + (-0.1×-0.3)</t>
  </si>
  <si>
    <t>'= (0.3×-0.2) + (-0.2×0.4) + (0.1×0.3) + (0.2×-0.3)</t>
  </si>
  <si>
    <t>'= (0.2×0.3429) + (0.1×-0.0528) + (-0.1×0.273)</t>
  </si>
  <si>
    <t>'= (-0.1×0.3429) + (0.3×-0.0528) + (0.2×0.273)</t>
  </si>
  <si>
    <t>'= (0.1×0.3429) + (-0.2×-0.0528) + (0.2×0.273)</t>
  </si>
  <si>
    <t>═══ Context Vector (Final Encoder State) ═══</t>
  </si>
  <si>
    <t>context =</t>
  </si>
  <si>
    <t>(This becomes the initial hidden state for Decoder)</t>
  </si>
  <si>
    <t>[Description] Decoder with Teacher Forcing: Use ground-truth target words as input during training.</t>
  </si>
  <si>
    <t>Decoder Forward Pass (Teacher Forcing - Training Mode)</t>
  </si>
  <si>
    <t>Teacher Forcing: Use Ground Truth as input at each time step</t>
  </si>
  <si>
    <t>Initial State (from Encoder):</t>
  </si>
  <si>
    <t>s_0 = context =</t>
  </si>
  <si>
    <t>Decoder Input:</t>
  </si>
  <si>
    <t>&lt;SOS&gt; → I → you → love</t>
  </si>
  <si>
    <t>Decoder Target:</t>
  </si>
  <si>
    <t>I → you → love → &lt;EOS&gt;</t>
  </si>
  <si>
    <t>──── t=0: Input='&lt;SOS&gt;' → Target='I' ────</t>
  </si>
  <si>
    <t>e_t ('&lt;SOS&gt;') =</t>
  </si>
  <si>
    <t>s_{t-1} =</t>
  </si>
  <si>
    <t>① dec_Wxh^T · e_t:</t>
  </si>
  <si>
    <t xml:space="preserve">  [0] = -0.0</t>
  </si>
  <si>
    <t xml:space="preserve">  [1] = 0.03</t>
  </si>
  <si>
    <t xml:space="preserve">  [2] = 0.12</t>
  </si>
  <si>
    <t>② dec_Whh^T · s_{t-1}:</t>
  </si>
  <si>
    <t xml:space="preserve">  [0] = 0.0182</t>
  </si>
  <si>
    <t xml:space="preserve">  [1] = 0.0358</t>
  </si>
  <si>
    <t xml:space="preserve">  [2] = -0.0272</t>
  </si>
  <si>
    <t>③ z_h = ① + ② + dec_bh:</t>
  </si>
  <si>
    <t xml:space="preserve">  [0] = 0.0682</t>
  </si>
  <si>
    <t xml:space="preserve">  [1] = 0.1658</t>
  </si>
  <si>
    <t xml:space="preserve">  [2] = 0.0428</t>
  </si>
  <si>
    <t>④ s_t = tanh(z_h):</t>
  </si>
  <si>
    <t>⑤ Output Probabilities (softmax):</t>
  </si>
  <si>
    <t>← Target</t>
  </si>
  <si>
    <t>Prediction: 'I' ✓</t>
  </si>
  <si>
    <t>Loss = -log(0.1757) = 1.7387</t>
  </si>
  <si>
    <t>──── t=1: Input='I' → Target='you' ────</t>
  </si>
  <si>
    <t>e_t ('I') =</t>
  </si>
  <si>
    <t xml:space="preserve">  [0] = 0.1</t>
  </si>
  <si>
    <t xml:space="preserve">  [1] = -0.12</t>
  </si>
  <si>
    <t xml:space="preserve">  [2] = 0.24</t>
  </si>
  <si>
    <t xml:space="preserve">  [0] = 0.0283</t>
  </si>
  <si>
    <t xml:space="preserve">  [1] = 0.0303</t>
  </si>
  <si>
    <t xml:space="preserve">  [2] = 0.01</t>
  </si>
  <si>
    <t xml:space="preserve">  [0] = 0.1783</t>
  </si>
  <si>
    <t xml:space="preserve">  [1] = 0.0103</t>
  </si>
  <si>
    <t xml:space="preserve">  [2] = 0.2</t>
  </si>
  <si>
    <t>Prediction: '&lt;PAD&gt;' ✗</t>
  </si>
  <si>
    <t>Loss = -log(0.1479) = 1.9112</t>
  </si>
  <si>
    <t>──── t=2: Input='you' → Target='love' ────</t>
  </si>
  <si>
    <t>e_t ('you') =</t>
  </si>
  <si>
    <t xml:space="preserve">  [0] = -0.06</t>
  </si>
  <si>
    <t xml:space="preserve">  [1] = 0.28</t>
  </si>
  <si>
    <t xml:space="preserve">  [2] = -0.05</t>
  </si>
  <si>
    <t xml:space="preserve">  [0] = 0.0145</t>
  </si>
  <si>
    <t xml:space="preserve">  [1] = 0.0042</t>
  </si>
  <si>
    <t xml:space="preserve">  [2] = 0.0935</t>
  </si>
  <si>
    <t xml:space="preserve">  [0] = 0.0045</t>
  </si>
  <si>
    <t xml:space="preserve">  [1] = 0.3842</t>
  </si>
  <si>
    <t xml:space="preserve">  [2] = -0.0065</t>
  </si>
  <si>
    <t>Prediction: '&lt;SOS&gt;' ✗</t>
  </si>
  <si>
    <t>Loss = -log(0.1761) = 1.7365</t>
  </si>
  <si>
    <t>──── t=3: Input='love' → Target='&lt;EOS&gt;' ────</t>
  </si>
  <si>
    <t>e_t ('love') =</t>
  </si>
  <si>
    <t xml:space="preserve">  [0] = 0.25</t>
  </si>
  <si>
    <t xml:space="preserve">  [1] = -0.24</t>
  </si>
  <si>
    <t xml:space="preserve">  [2] = 0.05</t>
  </si>
  <si>
    <t xml:space="preserve">  [0] = 0.0393</t>
  </si>
  <si>
    <t xml:space="preserve">  [1] = 0.0722</t>
  </si>
  <si>
    <t xml:space="preserve">  [2] = -0.0377</t>
  </si>
  <si>
    <t xml:space="preserve">  [0] = 0.3393</t>
  </si>
  <si>
    <t xml:space="preserve">  [1] = -0.0678</t>
  </si>
  <si>
    <t>Loss = -log(0.1299) = 2.0414</t>
  </si>
  <si>
    <t>═══ Average Loss = 1.8569 ═══</t>
  </si>
  <si>
    <t>[Description] Decoder Autoregressive: Use predicted words as input, matching actual inference behavior.</t>
  </si>
  <si>
    <t>Decoder Forward Pass (Autoregressive - Inference Mode)</t>
  </si>
  <si>
    <t>Autoregressive: Use previous prediction as input at each time step</t>
  </si>
  <si>
    <t>Initial Input: &lt;SOS&gt;</t>
  </si>
  <si>
    <t>──── t=0: Input='&lt;SOS&gt;' (&lt;SOS&gt;) ────</t>
  </si>
  <si>
    <t>Target: 'I'</t>
  </si>
  <si>
    <t>s_t = tanh(dec_Wxh^T·e_t + dec_Whh^T·s_{t-1} + dec_bh):</t>
  </si>
  <si>
    <t>s_t =</t>
  </si>
  <si>
    <t>Output Probabilities:</t>
  </si>
  <si>
    <t>← Predicted (argmax)</t>
  </si>
  <si>
    <t>→ Next Input: 'I'</t>
  </si>
  <si>
    <t>──── t=1: Input='I' (Previous Prediction) ────</t>
  </si>
  <si>
    <t>Target: 'you'</t>
  </si>
  <si>
    <t>→ Next Input: '&lt;PAD&gt;'</t>
  </si>
  <si>
    <t>──── t=2: Input='&lt;PAD&gt;' (Previous Prediction) ────</t>
  </si>
  <si>
    <t>Target: 'love'</t>
  </si>
  <si>
    <t>e_t ('&lt;PAD&gt;') =</t>
  </si>
  <si>
    <t>──── t=3: Input='&lt;PAD&gt;' (Previous Prediction) ────</t>
  </si>
  <si>
    <t>Target: '&lt;EOS&gt;'</t>
  </si>
  <si>
    <t>Prediction: 'I' ✗</t>
  </si>
  <si>
    <t>═══ Generated Sequence ═══</t>
  </si>
  <si>
    <t>Predicted:</t>
  </si>
  <si>
    <t>Target:</t>
  </si>
  <si>
    <t>[Description] Compare decoding strategies: Teacher forcing is faster but creates train-test mismatch.</t>
  </si>
  <si>
    <t>Teacher Forcing vs Autoregressive Comparison</t>
  </si>
  <si>
    <t>Teacher Forcing (Training)</t>
  </si>
  <si>
    <t>Autoregressive (Inference)</t>
  </si>
  <si>
    <t>Input source</t>
  </si>
  <si>
    <t>Ground Truth</t>
  </si>
  <si>
    <t>Model Prediction</t>
  </si>
  <si>
    <t>When to use</t>
  </si>
  <si>
    <t>Training</t>
  </si>
  <si>
    <t>Inference</t>
  </si>
  <si>
    <t>Advantages</t>
  </si>
  <si>
    <t>Stable training, fast convergence</t>
  </si>
  <si>
    <t>Same as real environment</t>
  </si>
  <si>
    <t>Disadvantages</t>
  </si>
  <si>
    <t>Exposure Bias</t>
  </si>
  <si>
    <t>Error Propagation</t>
  </si>
  <si>
    <t>Parallelization</t>
  </si>
  <si>
    <t>Possible (all inputs known)</t>
  </si>
  <si>
    <t>Impossible (sequential)</t>
  </si>
  <si>
    <t>═══ Input Flow Comparison ═══</t>
  </si>
  <si>
    <t>Input:</t>
  </si>
  <si>
    <t>Output:</t>
  </si>
  <si>
    <t>ŷ₀</t>
  </si>
  <si>
    <t>ŷ₁</t>
  </si>
  <si>
    <t>ŷ₂</t>
  </si>
  <si>
    <t>ŷ₃</t>
  </si>
  <si>
    <t>(feedback)</t>
  </si>
  <si>
    <t>↖</t>
  </si>
  <si>
    <t>[Description] Backpropagation through encoder-decoder: Gradients flow from decoder loss back to encoder.</t>
  </si>
  <si>
    <t>Seq2Seq Backward Pass - Original → Gradient → Updated</t>
  </si>
  <si>
    <t>Learning Rate: 0.1</t>
  </si>
  <si>
    <t>═══ 1. Decoder Output Layer Gradients (t=3: love→&lt;EOS&gt;) ═══</t>
  </si>
  <si>
    <t>Target: '&lt;EOS&gt;' (index=2)</t>
  </si>
  <si>
    <t>Predicted probs: [0.1977, 0.1673, 0.1299, 0.1907, 0.1398, 0.1747]</t>
  </si>
  <si>
    <t>dL/d_logits = softmax(logits) - one_hot(target):</t>
  </si>
  <si>
    <t>dec_Why Update (showing first 3 rows):</t>
  </si>
  <si>
    <t>Original</t>
  </si>
  <si>
    <t>Gradient</t>
  </si>
  <si>
    <t>Updated</t>
  </si>
  <si>
    <t>dec_by Update:</t>
  </si>
  <si>
    <t>Original:</t>
  </si>
  <si>
    <t>Gradient:</t>
  </si>
  <si>
    <t>Updated:</t>
  </si>
  <si>
    <t>═══ 2. Gradient to Decoder Hidden State ═══</t>
  </si>
  <si>
    <t>dL/dh_t = dec_Why^T @ dL/d_logits:</t>
  </si>
  <si>
    <t xml:space="preserve">  dL/dh[0]</t>
  </si>
  <si>
    <t xml:space="preserve">  dL/dh[1]</t>
  </si>
  <si>
    <t xml:space="preserve">  dL/dh[2]</t>
  </si>
  <si>
    <t>dL/dz_h = dL/dh_t ⊙ (1 - h_t²)  [tanh derivative]:</t>
  </si>
  <si>
    <t xml:space="preserve">  dL/dz[0]</t>
  </si>
  <si>
    <t>'= 0.348 × (1 - 0.3268²)</t>
  </si>
  <si>
    <t xml:space="preserve">  dL/dz[1]</t>
  </si>
  <si>
    <t>'= -0.0046 × (1 - -0.0677²)</t>
  </si>
  <si>
    <t xml:space="preserve">  dL/dz[2]</t>
  </si>
  <si>
    <t>'= -0.2883 × (1 - -0.0377²)</t>
  </si>
  <si>
    <t>═══ 3. Decoder RNN Weight Gradients ═══</t>
  </si>
  <si>
    <t>dec_Wxh Update:</t>
  </si>
  <si>
    <t>Wxh[0]</t>
  </si>
  <si>
    <t>Wxh[1]</t>
  </si>
  <si>
    <t>Wxh[2]</t>
  </si>
  <si>
    <t>Wxh[3]</t>
  </si>
  <si>
    <t>dec_Whh Update:</t>
  </si>
  <si>
    <t>Whh[0]</t>
  </si>
  <si>
    <t>Whh[1]</t>
  </si>
  <si>
    <t>Whh[2]</t>
  </si>
  <si>
    <t>dec_bh Update:</t>
  </si>
  <si>
    <t>═══ 4. Gradient to Previous Hidden State (BPTT) ═══</t>
  </si>
  <si>
    <t>dL/dh_{t-1} = dec_Whh^T @ dL/dz_h:</t>
  </si>
  <si>
    <t xml:space="preserve">  dL/dh_prev[0]</t>
  </si>
  <si>
    <t xml:space="preserve">  dL/dh_prev[1]</t>
  </si>
  <si>
    <t xml:space="preserve">  dL/dh_prev[2]</t>
  </si>
  <si>
    <t>This gradient propagates to t-1 timestep, continuing BPTT</t>
  </si>
  <si>
    <t>═══ 5. Encoder Gradients (through Context Vector) ═══</t>
  </si>
  <si>
    <t>dL/d_context (from decoder t=0):</t>
  </si>
  <si>
    <t>enc_Wxh Update (last timestep gradient):</t>
  </si>
  <si>
    <t>enc_Whh Update:</t>
  </si>
  <si>
    <t>enc_bh Update:</t>
  </si>
  <si>
    <t>═══ Seq2Seq Gradient Flow Summary ═══</t>
  </si>
  <si>
    <t>1. Calculate Loss (Cross-Entropy at each Decoder timestep)</t>
  </si>
  <si>
    <t>2. Calculate Decoder Output Layer (dec_Why, dec_by) gradient</t>
  </si>
  <si>
    <t>3. Calculate Decoder RNN (dec_Wxh, dec_Whh, dec_bh) gradient</t>
  </si>
  <si>
    <t>4. BPTT: Backpropagate gradient to Decoder's each timestep</t>
  </si>
  <si>
    <t>5. Propagate gradient to Encoder through Context Vector</t>
  </si>
  <si>
    <t>6. Calculate Encoder RNN (enc_Wxh, enc_Whh, enc_bh) gradient</t>
  </si>
  <si>
    <t>7. BPTT: Backpropagate gradient to Encoder's each timestep</t>
  </si>
  <si>
    <t>※ Actually sum gradients from all timesteps</t>
  </si>
  <si>
    <t>※ Here we only show the last timestep for simplicity</t>
  </si>
  <si>
    <t>[Description] Reference solutions for self-checking your calculations.</t>
  </si>
  <si>
    <t>Answer Key</t>
  </si>
  <si>
    <t>═══ Encoder Hidden States ═══</t>
  </si>
  <si>
    <t>h_1 ('I'):</t>
  </si>
  <si>
    <t>[0.0898, -0.0699, 0.2355]</t>
  </si>
  <si>
    <t>h_2 ('love'):</t>
  </si>
  <si>
    <t>[0.3429, -0.0528, 0.273]</t>
  </si>
  <si>
    <t>h_3 ('you'):</t>
  </si>
  <si>
    <t>[-0.014, 0.1824, -0.0206]</t>
  </si>
  <si>
    <t>═══ Decoder (Teacher Forcing) ═══</t>
  </si>
  <si>
    <t>t=0:</t>
  </si>
  <si>
    <t>s_1=[0.068, 0.1643, 0.0428]</t>
  </si>
  <si>
    <t>pred='I', target='I', loss=1.7387</t>
  </si>
  <si>
    <t>t=1:</t>
  </si>
  <si>
    <t>s_2=[0.1764, 0.0103, 0.1974]</t>
  </si>
  <si>
    <t>pred='&lt;PAD&gt;', target='you', loss=1.9112</t>
  </si>
  <si>
    <t>t=2:</t>
  </si>
  <si>
    <t>s_3=[0.0045, 0.3663, -0.0065]</t>
  </si>
  <si>
    <t>pred='&lt;SOS&gt;', target='love', loss=1.7365</t>
  </si>
  <si>
    <t>t=3:</t>
  </si>
  <si>
    <t>s_4=[0.3268, -0.0677, -0.0377]</t>
  </si>
  <si>
    <t>pred='&lt;PAD&gt;', target='&lt;EOS&gt;', loss=2.0414</t>
  </si>
  <si>
    <t>Average Loss: 1.8569</t>
  </si>
  <si>
    <t>═══ Decoder (Autoregressive) ═══</t>
  </si>
  <si>
    <t>Predictions:</t>
  </si>
  <si>
    <t>I → &lt;PAD&gt; → &lt;PAD&gt; → I</t>
  </si>
  <si>
    <t>Targets: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</si>
</sst>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0"/>
      <color rgb="FF505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C5E0B4"/>
        <bgColor rgb="FFC5E0B4"/>
      </patternFill>
    </fill>
    <fill>
      <patternFill patternType="solid">
        <fgColor rgb="FFFFD966"/>
        <bgColor rgb="FFFFD966"/>
      </patternFill>
    </fill>
    <fill>
      <patternFill patternType="solid">
        <fgColor rgb="FFF4B183"/>
        <bgColor rgb="FFF4B183"/>
      </patternFill>
    </fill>
    <fill>
      <patternFill patternType="solid">
        <fgColor rgb="FFFFFACD"/>
        <bgColor rgb="FFFFFACD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E4DFEC"/>
        <bgColor rgb="FFE4DFEC"/>
      </patternFill>
    </fill>
    <fill>
      <patternFill patternType="solid">
        <fgColor rgb="FFF0F8FF"/>
        <bgColor rgb="FFF0F8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/>
    <xf numFmtId="0" fontId="0" fillId="6" borderId="0" xfId="0" applyFill="1"/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2" borderId="0" xfId="0" applyFill="1"/>
    <xf numFmtId="0" fontId="0" fillId="8" borderId="0" xfId="0" applyFill="1"/>
    <xf numFmtId="0" fontId="0" fillId="7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13" borderId="0" xfId="0" applyFont="1" applyFill="1" applyAlignment="1">
      <alignment wrapText="1"/>
    </xf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0" fillId="1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"/>
  <sheetViews>
    <sheetView workbookViewId="0">
      <selection sqref="A1:J1"/>
    </sheetView>
  </sheetViews>
  <sheetFormatPr baseColWidth="10" defaultColWidth="8.83203125" defaultRowHeight="15" x14ac:dyDescent="0.2"/>
  <cols>
    <col min="1" max="1" width="12" customWidth="1"/>
    <col min="2" max="2" width="25.1640625" customWidth="1"/>
    <col min="3" max="16" width="12" customWidth="1"/>
    <col min="17" max="29" width="7" customWidth="1"/>
  </cols>
  <sheetData>
    <row r="1" spans="1:28" x14ac:dyDescent="0.2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28" x14ac:dyDescent="0.2">
      <c r="B2" s="33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4" spans="1:28" x14ac:dyDescent="0.2">
      <c r="B4" s="33" t="s">
        <v>2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5"/>
    </row>
    <row r="5" spans="1:28" x14ac:dyDescent="0.2">
      <c r="B5" s="2" t="s">
        <v>3</v>
      </c>
    </row>
    <row r="6" spans="1:28" x14ac:dyDescent="0.2">
      <c r="B6" s="3" t="s">
        <v>4</v>
      </c>
    </row>
    <row r="9" spans="1:28" x14ac:dyDescent="0.2">
      <c r="B9" s="33" t="s">
        <v>5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5"/>
    </row>
    <row r="11" spans="1:28" x14ac:dyDescent="0.2">
      <c r="B11" s="39" t="s">
        <v>6</v>
      </c>
      <c r="C11" s="34"/>
      <c r="D11" s="34"/>
      <c r="E11" s="34"/>
      <c r="F11" s="34"/>
      <c r="G11" s="35"/>
      <c r="J11" s="38" t="s">
        <v>7</v>
      </c>
      <c r="K11" s="34"/>
      <c r="L11" s="34"/>
      <c r="M11" s="34"/>
      <c r="N11" s="34"/>
      <c r="O11" s="34"/>
      <c r="P11" s="34"/>
      <c r="Q11" s="35"/>
    </row>
    <row r="13" spans="1:28" x14ac:dyDescent="0.2">
      <c r="B13" s="6" t="s">
        <v>8</v>
      </c>
      <c r="D13" s="6" t="s">
        <v>9</v>
      </c>
      <c r="F13" s="6" t="s">
        <v>10</v>
      </c>
      <c r="J13" s="7" t="s">
        <v>11</v>
      </c>
      <c r="L13" s="7" t="s">
        <v>8</v>
      </c>
      <c r="N13" s="7" t="s">
        <v>10</v>
      </c>
      <c r="P13" s="7" t="s">
        <v>9</v>
      </c>
    </row>
    <row r="14" spans="1:28" x14ac:dyDescent="0.2">
      <c r="B14" s="8" t="s">
        <v>12</v>
      </c>
      <c r="D14" s="8" t="s">
        <v>12</v>
      </c>
      <c r="F14" s="8" t="s">
        <v>12</v>
      </c>
      <c r="J14" s="8" t="s">
        <v>12</v>
      </c>
      <c r="L14" s="8" t="s">
        <v>12</v>
      </c>
      <c r="N14" s="8" t="s">
        <v>12</v>
      </c>
      <c r="P14" s="8" t="s">
        <v>12</v>
      </c>
    </row>
    <row r="15" spans="1:28" x14ac:dyDescent="0.2">
      <c r="B15" s="6" t="s">
        <v>13</v>
      </c>
      <c r="C15" s="8" t="s">
        <v>14</v>
      </c>
      <c r="D15" s="6" t="s">
        <v>15</v>
      </c>
      <c r="E15" s="8" t="s">
        <v>14</v>
      </c>
      <c r="F15" s="6" t="s">
        <v>16</v>
      </c>
      <c r="G15" s="8" t="s">
        <v>14</v>
      </c>
      <c r="H15" s="9" t="s">
        <v>17</v>
      </c>
      <c r="I15" s="8" t="s">
        <v>14</v>
      </c>
      <c r="J15" s="7" t="s">
        <v>18</v>
      </c>
      <c r="K15" s="8" t="s">
        <v>14</v>
      </c>
      <c r="L15" s="7" t="s">
        <v>19</v>
      </c>
      <c r="M15" s="8" t="s">
        <v>14</v>
      </c>
      <c r="N15" s="7" t="s">
        <v>20</v>
      </c>
      <c r="O15" s="8" t="s">
        <v>14</v>
      </c>
      <c r="P15" s="7" t="s">
        <v>21</v>
      </c>
    </row>
    <row r="16" spans="1:28" x14ac:dyDescent="0.2">
      <c r="J16" s="8" t="s">
        <v>12</v>
      </c>
      <c r="L16" s="8" t="s">
        <v>12</v>
      </c>
      <c r="N16" s="8" t="s">
        <v>12</v>
      </c>
      <c r="P16" s="8" t="s">
        <v>12</v>
      </c>
    </row>
    <row r="17" spans="2:28" x14ac:dyDescent="0.2">
      <c r="J17" s="10" t="s">
        <v>8</v>
      </c>
      <c r="L17" s="10" t="s">
        <v>10</v>
      </c>
      <c r="N17" s="10" t="s">
        <v>9</v>
      </c>
      <c r="P17" s="10" t="s">
        <v>22</v>
      </c>
    </row>
    <row r="20" spans="2:28" x14ac:dyDescent="0.2">
      <c r="B20" s="33" t="s">
        <v>23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5"/>
    </row>
    <row r="22" spans="2:28" x14ac:dyDescent="0.2">
      <c r="B22" s="11" t="s">
        <v>24</v>
      </c>
      <c r="E22" t="s">
        <v>25</v>
      </c>
    </row>
    <row r="23" spans="2:28" x14ac:dyDescent="0.2">
      <c r="B23" s="11" t="s">
        <v>26</v>
      </c>
      <c r="E23" t="s">
        <v>27</v>
      </c>
    </row>
    <row r="24" spans="2:28" x14ac:dyDescent="0.2">
      <c r="B24" s="11" t="s">
        <v>28</v>
      </c>
      <c r="E24" t="s">
        <v>29</v>
      </c>
    </row>
    <row r="25" spans="2:28" x14ac:dyDescent="0.2">
      <c r="B25" s="11" t="s">
        <v>30</v>
      </c>
      <c r="E25" t="s">
        <v>31</v>
      </c>
    </row>
    <row r="26" spans="2:28" x14ac:dyDescent="0.2">
      <c r="B26" s="11" t="s">
        <v>32</v>
      </c>
      <c r="E26" t="s">
        <v>33</v>
      </c>
    </row>
  </sheetData>
  <mergeCells count="7">
    <mergeCell ref="B20:AB20"/>
    <mergeCell ref="B11:G11"/>
    <mergeCell ref="B4:AB4"/>
    <mergeCell ref="A1:J1"/>
    <mergeCell ref="B9:AB9"/>
    <mergeCell ref="J11:Q11"/>
    <mergeCell ref="B2:A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"/>
  <sheetViews>
    <sheetView workbookViewId="0">
      <selection sqref="A1:J1"/>
    </sheetView>
  </sheetViews>
  <sheetFormatPr baseColWidth="10" defaultColWidth="8.83203125" defaultRowHeight="15" x14ac:dyDescent="0.2"/>
  <cols>
    <col min="1" max="7" width="12" customWidth="1"/>
    <col min="8" max="11" width="9" customWidth="1"/>
  </cols>
  <sheetData>
    <row r="1" spans="1:20" x14ac:dyDescent="0.2">
      <c r="A1" s="36" t="s">
        <v>34</v>
      </c>
      <c r="B1" s="37"/>
      <c r="C1" s="37"/>
      <c r="D1" s="37"/>
      <c r="E1" s="37"/>
      <c r="F1" s="37"/>
      <c r="G1" s="37"/>
      <c r="H1" s="37"/>
      <c r="I1" s="37"/>
      <c r="J1" s="37"/>
    </row>
    <row r="2" spans="1:20" x14ac:dyDescent="0.2">
      <c r="B2" s="33" t="s">
        <v>35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5"/>
    </row>
    <row r="4" spans="1:20" x14ac:dyDescent="0.2">
      <c r="B4" s="39" t="s">
        <v>36</v>
      </c>
      <c r="C4" s="34"/>
      <c r="D4" s="34"/>
      <c r="E4" s="34"/>
      <c r="F4" s="34"/>
      <c r="G4" s="34"/>
      <c r="H4" s="34"/>
      <c r="I4" s="34"/>
      <c r="J4" s="35"/>
    </row>
    <row r="5" spans="1:20" x14ac:dyDescent="0.2"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</row>
    <row r="6" spans="1:20" x14ac:dyDescent="0.2">
      <c r="B6" s="6" t="s">
        <v>43</v>
      </c>
      <c r="C6" s="12">
        <v>0</v>
      </c>
      <c r="D6" s="6">
        <v>0</v>
      </c>
      <c r="E6" s="6">
        <v>0</v>
      </c>
      <c r="F6" s="6">
        <v>0</v>
      </c>
      <c r="G6" s="6">
        <v>0</v>
      </c>
    </row>
    <row r="7" spans="1:20" x14ac:dyDescent="0.2">
      <c r="B7" s="6" t="s">
        <v>11</v>
      </c>
      <c r="C7" s="12">
        <v>1</v>
      </c>
      <c r="D7" s="6">
        <v>0.1</v>
      </c>
      <c r="E7" s="6">
        <v>0.1</v>
      </c>
      <c r="F7" s="6">
        <v>0.1</v>
      </c>
      <c r="G7" s="6">
        <v>0.1</v>
      </c>
    </row>
    <row r="8" spans="1:20" x14ac:dyDescent="0.2">
      <c r="B8" s="6" t="s">
        <v>22</v>
      </c>
      <c r="C8" s="12">
        <v>2</v>
      </c>
      <c r="D8" s="6">
        <v>0.2</v>
      </c>
      <c r="E8" s="6">
        <v>0.2</v>
      </c>
      <c r="F8" s="6">
        <v>0.2</v>
      </c>
      <c r="G8" s="6">
        <v>0.2</v>
      </c>
    </row>
    <row r="9" spans="1:20" x14ac:dyDescent="0.2">
      <c r="B9" s="6" t="s">
        <v>8</v>
      </c>
      <c r="C9" s="12">
        <v>3</v>
      </c>
      <c r="D9" s="6">
        <v>0.3</v>
      </c>
      <c r="E9" s="6">
        <v>-0.2</v>
      </c>
      <c r="F9" s="6">
        <v>0.4</v>
      </c>
      <c r="G9" s="6">
        <v>0.1</v>
      </c>
    </row>
    <row r="10" spans="1:20" x14ac:dyDescent="0.2">
      <c r="B10" s="6" t="s">
        <v>9</v>
      </c>
      <c r="C10" s="12">
        <v>4</v>
      </c>
      <c r="D10" s="6">
        <v>0.5</v>
      </c>
      <c r="E10" s="6">
        <v>0.3</v>
      </c>
      <c r="F10" s="6">
        <v>-0.1</v>
      </c>
      <c r="G10" s="6">
        <v>0.4</v>
      </c>
    </row>
    <row r="11" spans="1:20" x14ac:dyDescent="0.2">
      <c r="B11" s="6" t="s">
        <v>10</v>
      </c>
      <c r="C11" s="12">
        <v>5</v>
      </c>
      <c r="D11" s="6">
        <v>-0.2</v>
      </c>
      <c r="E11" s="6">
        <v>0.4</v>
      </c>
      <c r="F11" s="6">
        <v>0.3</v>
      </c>
      <c r="G11" s="6">
        <v>-0.3</v>
      </c>
    </row>
    <row r="14" spans="1:20" x14ac:dyDescent="0.2">
      <c r="B14" s="38" t="s">
        <v>44</v>
      </c>
      <c r="C14" s="34"/>
      <c r="D14" s="34"/>
      <c r="E14" s="34"/>
      <c r="F14" s="34"/>
      <c r="G14" s="34"/>
      <c r="H14" s="34"/>
      <c r="I14" s="34"/>
      <c r="J14" s="35"/>
    </row>
    <row r="15" spans="1:20" x14ac:dyDescent="0.2">
      <c r="B15" s="1" t="s">
        <v>37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</row>
    <row r="16" spans="1:20" x14ac:dyDescent="0.2">
      <c r="B16" s="7" t="s">
        <v>43</v>
      </c>
      <c r="C16" s="12">
        <v>0</v>
      </c>
      <c r="D16" s="7">
        <v>0</v>
      </c>
      <c r="E16" s="7">
        <v>0</v>
      </c>
      <c r="F16" s="7">
        <v>0</v>
      </c>
      <c r="G16" s="7">
        <v>0</v>
      </c>
    </row>
    <row r="17" spans="2:7" x14ac:dyDescent="0.2">
      <c r="B17" s="7" t="s">
        <v>11</v>
      </c>
      <c r="C17" s="12">
        <v>1</v>
      </c>
      <c r="D17" s="7">
        <v>0.1</v>
      </c>
      <c r="E17" s="7">
        <v>0.2</v>
      </c>
      <c r="F17" s="7">
        <v>-0.1</v>
      </c>
      <c r="G17" s="7">
        <v>0.1</v>
      </c>
    </row>
    <row r="18" spans="2:7" x14ac:dyDescent="0.2">
      <c r="B18" s="7" t="s">
        <v>22</v>
      </c>
      <c r="C18" s="12">
        <v>2</v>
      </c>
      <c r="D18" s="7">
        <v>0.2</v>
      </c>
      <c r="E18" s="7">
        <v>-0.1</v>
      </c>
      <c r="F18" s="7">
        <v>0.2</v>
      </c>
      <c r="G18" s="7">
        <v>0.1</v>
      </c>
    </row>
    <row r="19" spans="2:7" x14ac:dyDescent="0.2">
      <c r="B19" s="7" t="s">
        <v>8</v>
      </c>
      <c r="C19" s="12">
        <v>3</v>
      </c>
      <c r="D19" s="7">
        <v>0.4</v>
      </c>
      <c r="E19" s="7">
        <v>0.1</v>
      </c>
      <c r="F19" s="7">
        <v>-0.2</v>
      </c>
      <c r="G19" s="7">
        <v>0.3</v>
      </c>
    </row>
    <row r="20" spans="2:7" x14ac:dyDescent="0.2">
      <c r="B20" s="7" t="s">
        <v>10</v>
      </c>
      <c r="C20" s="12">
        <v>4</v>
      </c>
      <c r="D20" s="7">
        <v>-0.1</v>
      </c>
      <c r="E20" s="7">
        <v>0.5</v>
      </c>
      <c r="F20" s="7">
        <v>0.2</v>
      </c>
      <c r="G20" s="7">
        <v>-0.2</v>
      </c>
    </row>
    <row r="21" spans="2:7" x14ac:dyDescent="0.2">
      <c r="B21" s="7" t="s">
        <v>9</v>
      </c>
      <c r="C21" s="12">
        <v>5</v>
      </c>
      <c r="D21" s="7">
        <v>0.3</v>
      </c>
      <c r="E21" s="7">
        <v>-0.3</v>
      </c>
      <c r="F21" s="7">
        <v>0.4</v>
      </c>
      <c r="G21" s="7">
        <v>0.5</v>
      </c>
    </row>
  </sheetData>
  <mergeCells count="4">
    <mergeCell ref="A1:J1"/>
    <mergeCell ref="B2:T2"/>
    <mergeCell ref="B14:J14"/>
    <mergeCell ref="B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8"/>
  <sheetViews>
    <sheetView workbookViewId="0">
      <selection sqref="A1:J1"/>
    </sheetView>
  </sheetViews>
  <sheetFormatPr baseColWidth="10" defaultColWidth="8.83203125" defaultRowHeight="15" x14ac:dyDescent="0.2"/>
  <cols>
    <col min="1" max="7" width="12" customWidth="1"/>
    <col min="8" max="11" width="9" customWidth="1"/>
  </cols>
  <sheetData>
    <row r="1" spans="1:22" x14ac:dyDescent="0.2">
      <c r="A1" s="36" t="s">
        <v>45</v>
      </c>
      <c r="B1" s="37"/>
      <c r="C1" s="37"/>
      <c r="D1" s="37"/>
      <c r="E1" s="37"/>
      <c r="F1" s="37"/>
      <c r="G1" s="37"/>
      <c r="H1" s="37"/>
      <c r="I1" s="37"/>
      <c r="J1" s="37"/>
    </row>
    <row r="2" spans="1:22" x14ac:dyDescent="0.2">
      <c r="B2" s="33" t="s">
        <v>46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</row>
    <row r="4" spans="1:22" x14ac:dyDescent="0.2">
      <c r="B4" s="39" t="s">
        <v>47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5"/>
    </row>
    <row r="6" spans="1:22" x14ac:dyDescent="0.2">
      <c r="B6" s="4" t="s">
        <v>48</v>
      </c>
      <c r="G6" s="4" t="s">
        <v>49</v>
      </c>
    </row>
    <row r="7" spans="1:22" x14ac:dyDescent="0.2">
      <c r="B7" s="6">
        <v>0.2</v>
      </c>
      <c r="C7" s="6">
        <v>-0.1</v>
      </c>
      <c r="D7" s="6">
        <v>0.3</v>
      </c>
      <c r="G7" s="6">
        <v>0.1</v>
      </c>
    </row>
    <row r="8" spans="1:22" x14ac:dyDescent="0.2">
      <c r="B8" s="6">
        <v>0.1</v>
      </c>
      <c r="C8" s="6">
        <v>0.3</v>
      </c>
      <c r="D8" s="6">
        <v>-0.2</v>
      </c>
      <c r="G8" s="6">
        <v>-0.05</v>
      </c>
    </row>
    <row r="9" spans="1:22" x14ac:dyDescent="0.2">
      <c r="B9" s="6">
        <v>-0.2</v>
      </c>
      <c r="C9" s="6">
        <v>0.2</v>
      </c>
      <c r="D9" s="6">
        <v>0.1</v>
      </c>
      <c r="G9" s="6">
        <v>0.05</v>
      </c>
    </row>
    <row r="10" spans="1:22" x14ac:dyDescent="0.2">
      <c r="B10" s="6">
        <v>0.3</v>
      </c>
      <c r="C10" s="6">
        <v>-0.1</v>
      </c>
      <c r="D10" s="6">
        <v>0.2</v>
      </c>
    </row>
    <row r="12" spans="1:22" x14ac:dyDescent="0.2">
      <c r="B12" s="4" t="s">
        <v>50</v>
      </c>
    </row>
    <row r="13" spans="1:22" x14ac:dyDescent="0.2">
      <c r="B13" s="6">
        <v>0.2</v>
      </c>
      <c r="C13" s="6">
        <v>-0.1</v>
      </c>
      <c r="D13" s="6">
        <v>0.1</v>
      </c>
    </row>
    <row r="14" spans="1:22" x14ac:dyDescent="0.2">
      <c r="B14" s="6">
        <v>0.1</v>
      </c>
      <c r="C14" s="6">
        <v>0.3</v>
      </c>
      <c r="D14" s="6">
        <v>-0.2</v>
      </c>
    </row>
    <row r="15" spans="1:22" x14ac:dyDescent="0.2">
      <c r="B15" s="6">
        <v>-0.1</v>
      </c>
      <c r="C15" s="6">
        <v>0.2</v>
      </c>
      <c r="D15" s="6">
        <v>0.2</v>
      </c>
    </row>
    <row r="18" spans="2:14" x14ac:dyDescent="0.2">
      <c r="B18" s="38" t="s">
        <v>51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5"/>
    </row>
    <row r="20" spans="2:14" x14ac:dyDescent="0.2">
      <c r="B20" s="5" t="s">
        <v>52</v>
      </c>
      <c r="G20" s="5" t="s">
        <v>53</v>
      </c>
    </row>
    <row r="21" spans="2:14" x14ac:dyDescent="0.2">
      <c r="B21" s="7">
        <v>0.3</v>
      </c>
      <c r="C21" s="7">
        <v>-0.2</v>
      </c>
      <c r="D21" s="7">
        <v>0.1</v>
      </c>
      <c r="G21" s="7">
        <v>0.05</v>
      </c>
    </row>
    <row r="22" spans="2:14" x14ac:dyDescent="0.2">
      <c r="B22" s="7">
        <v>-0.1</v>
      </c>
      <c r="C22" s="7">
        <v>0.4</v>
      </c>
      <c r="D22" s="7">
        <v>0.2</v>
      </c>
      <c r="G22" s="7">
        <v>0.1</v>
      </c>
    </row>
    <row r="23" spans="2:14" x14ac:dyDescent="0.2">
      <c r="B23" s="7">
        <v>0.2</v>
      </c>
      <c r="C23" s="7">
        <v>0.1</v>
      </c>
      <c r="D23" s="7">
        <v>-0.3</v>
      </c>
      <c r="G23" s="7">
        <v>-0.05</v>
      </c>
    </row>
    <row r="24" spans="2:14" x14ac:dyDescent="0.2">
      <c r="B24" s="7">
        <v>0.1</v>
      </c>
      <c r="C24" s="7">
        <v>-0.2</v>
      </c>
      <c r="D24" s="7">
        <v>0.4</v>
      </c>
    </row>
    <row r="26" spans="2:14" x14ac:dyDescent="0.2">
      <c r="B26" s="5" t="s">
        <v>54</v>
      </c>
    </row>
    <row r="27" spans="2:14" x14ac:dyDescent="0.2">
      <c r="B27" s="7">
        <v>0.3</v>
      </c>
      <c r="C27" s="7">
        <v>-0.1</v>
      </c>
      <c r="D27" s="7">
        <v>0.2</v>
      </c>
    </row>
    <row r="28" spans="2:14" x14ac:dyDescent="0.2">
      <c r="B28" s="7">
        <v>0.1</v>
      </c>
      <c r="C28" s="7">
        <v>0.2</v>
      </c>
      <c r="D28" s="7">
        <v>-0.1</v>
      </c>
    </row>
    <row r="29" spans="2:14" x14ac:dyDescent="0.2">
      <c r="B29" s="7">
        <v>-0.2</v>
      </c>
      <c r="C29" s="7">
        <v>0.1</v>
      </c>
      <c r="D29" s="7">
        <v>0.3</v>
      </c>
    </row>
    <row r="32" spans="2:14" x14ac:dyDescent="0.2">
      <c r="B32" s="13" t="s">
        <v>55</v>
      </c>
      <c r="G32" s="13" t="s">
        <v>56</v>
      </c>
    </row>
    <row r="33" spans="2:7" x14ac:dyDescent="0.2">
      <c r="B33" s="12" t="s">
        <v>43</v>
      </c>
      <c r="C33" s="10">
        <v>0.4</v>
      </c>
      <c r="D33" s="10">
        <v>-0.2</v>
      </c>
      <c r="E33" s="10">
        <v>0.3</v>
      </c>
      <c r="G33" s="10">
        <v>0.1</v>
      </c>
    </row>
    <row r="34" spans="2:7" x14ac:dyDescent="0.2">
      <c r="B34" s="12" t="s">
        <v>11</v>
      </c>
      <c r="C34" s="10">
        <v>0.1</v>
      </c>
      <c r="D34" s="10">
        <v>0.3</v>
      </c>
      <c r="E34" s="10">
        <v>-0.1</v>
      </c>
      <c r="G34" s="10">
        <v>0.05</v>
      </c>
    </row>
    <row r="35" spans="2:7" x14ac:dyDescent="0.2">
      <c r="B35" s="12" t="s">
        <v>22</v>
      </c>
      <c r="C35" s="10">
        <v>-0.2</v>
      </c>
      <c r="D35" s="10">
        <v>0.1</v>
      </c>
      <c r="E35" s="10">
        <v>0.4</v>
      </c>
      <c r="G35" s="10">
        <v>-0.1</v>
      </c>
    </row>
    <row r="36" spans="2:7" x14ac:dyDescent="0.2">
      <c r="B36" s="12" t="s">
        <v>8</v>
      </c>
      <c r="C36" s="10">
        <v>0.3</v>
      </c>
      <c r="D36" s="10">
        <v>-0.1</v>
      </c>
      <c r="E36" s="10">
        <v>0.2</v>
      </c>
      <c r="G36" s="10">
        <v>0.1</v>
      </c>
    </row>
    <row r="37" spans="2:7" x14ac:dyDescent="0.2">
      <c r="B37" s="12" t="s">
        <v>10</v>
      </c>
      <c r="C37" s="10">
        <v>-0.1</v>
      </c>
      <c r="D37" s="10">
        <v>0.4</v>
      </c>
      <c r="E37" s="10">
        <v>0.1</v>
      </c>
      <c r="G37" s="10">
        <v>-0.05</v>
      </c>
    </row>
    <row r="38" spans="2:7" x14ac:dyDescent="0.2">
      <c r="B38" s="12" t="s">
        <v>9</v>
      </c>
      <c r="C38" s="10">
        <v>0.2</v>
      </c>
      <c r="D38" s="10">
        <v>0.2</v>
      </c>
      <c r="E38" s="10">
        <v>-0.2</v>
      </c>
      <c r="G38" s="10">
        <v>0.05</v>
      </c>
    </row>
  </sheetData>
  <mergeCells count="4">
    <mergeCell ref="A1:J1"/>
    <mergeCell ref="B4:N4"/>
    <mergeCell ref="B18:N18"/>
    <mergeCell ref="B2:V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4"/>
  <sheetViews>
    <sheetView topLeftCell="A94" workbookViewId="0">
      <selection sqref="A1:J1"/>
    </sheetView>
  </sheetViews>
  <sheetFormatPr baseColWidth="10" defaultColWidth="8.83203125" defaultRowHeight="15" x14ac:dyDescent="0.2"/>
  <cols>
    <col min="1" max="1" width="12" customWidth="1"/>
    <col min="2" max="2" width="23.1640625" customWidth="1"/>
    <col min="3" max="16" width="12" customWidth="1"/>
    <col min="17" max="21" width="9" customWidth="1"/>
  </cols>
  <sheetData>
    <row r="1" spans="1:34" x14ac:dyDescent="0.2">
      <c r="A1" s="36" t="s">
        <v>57</v>
      </c>
      <c r="B1" s="37"/>
      <c r="C1" s="37"/>
      <c r="D1" s="37"/>
      <c r="E1" s="37"/>
      <c r="F1" s="37"/>
      <c r="G1" s="37"/>
      <c r="H1" s="37"/>
      <c r="I1" s="37"/>
      <c r="J1" s="37"/>
    </row>
    <row r="2" spans="1:34" x14ac:dyDescent="0.2">
      <c r="B2" s="39" t="s">
        <v>58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5"/>
    </row>
    <row r="4" spans="1:34" x14ac:dyDescent="0.2">
      <c r="B4" s="33" t="s">
        <v>47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5"/>
    </row>
    <row r="6" spans="1:34" x14ac:dyDescent="0.2">
      <c r="B6" s="4" t="s">
        <v>59</v>
      </c>
    </row>
    <row r="7" spans="1:34" x14ac:dyDescent="0.2">
      <c r="B7" s="6">
        <v>0.2</v>
      </c>
      <c r="C7" s="6">
        <v>-0.1</v>
      </c>
      <c r="D7" s="6">
        <v>0.3</v>
      </c>
    </row>
    <row r="8" spans="1:34" x14ac:dyDescent="0.2">
      <c r="B8" s="6">
        <v>0.1</v>
      </c>
      <c r="C8" s="6">
        <v>0.3</v>
      </c>
      <c r="D8" s="6">
        <v>-0.2</v>
      </c>
    </row>
    <row r="9" spans="1:34" x14ac:dyDescent="0.2">
      <c r="B9" s="6">
        <v>-0.2</v>
      </c>
      <c r="C9" s="6">
        <v>0.2</v>
      </c>
      <c r="D9" s="6">
        <v>0.1</v>
      </c>
    </row>
    <row r="10" spans="1:34" x14ac:dyDescent="0.2">
      <c r="B10" s="6">
        <v>0.3</v>
      </c>
      <c r="C10" s="6">
        <v>-0.1</v>
      </c>
      <c r="D10" s="6">
        <v>0.2</v>
      </c>
    </row>
    <row r="12" spans="1:34" x14ac:dyDescent="0.2">
      <c r="B12" s="4" t="s">
        <v>60</v>
      </c>
      <c r="F12" s="4" t="s">
        <v>61</v>
      </c>
    </row>
    <row r="13" spans="1:34" x14ac:dyDescent="0.2">
      <c r="B13" s="6">
        <v>0.2</v>
      </c>
      <c r="C13" s="6">
        <v>-0.1</v>
      </c>
      <c r="D13" s="6">
        <v>0.1</v>
      </c>
      <c r="F13" s="6">
        <v>0.1</v>
      </c>
    </row>
    <row r="14" spans="1:34" x14ac:dyDescent="0.2">
      <c r="B14" s="6">
        <v>0.1</v>
      </c>
      <c r="C14" s="6">
        <v>0.3</v>
      </c>
      <c r="D14" s="6">
        <v>-0.2</v>
      </c>
      <c r="F14" s="6">
        <v>-0.05</v>
      </c>
    </row>
    <row r="15" spans="1:34" x14ac:dyDescent="0.2">
      <c r="B15" s="6">
        <v>-0.1</v>
      </c>
      <c r="C15" s="6">
        <v>0.2</v>
      </c>
      <c r="D15" s="6">
        <v>0.2</v>
      </c>
      <c r="F15" s="6">
        <v>0.05</v>
      </c>
    </row>
    <row r="18" spans="2:20" x14ac:dyDescent="0.2">
      <c r="B18" s="39" t="s">
        <v>62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/>
    </row>
    <row r="20" spans="2:20" x14ac:dyDescent="0.2">
      <c r="B20" s="39" t="s">
        <v>63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5"/>
    </row>
    <row r="21" spans="2:20" x14ac:dyDescent="0.2">
      <c r="B21" s="14" t="s">
        <v>64</v>
      </c>
      <c r="D21" s="15">
        <v>0.3</v>
      </c>
      <c r="E21" s="15">
        <v>-0.2</v>
      </c>
      <c r="F21" s="15">
        <v>0.4</v>
      </c>
      <c r="G21" s="15">
        <v>0.1</v>
      </c>
    </row>
    <row r="22" spans="2:20" x14ac:dyDescent="0.2">
      <c r="B22" s="1" t="s">
        <v>65</v>
      </c>
      <c r="D22" s="12">
        <v>0</v>
      </c>
      <c r="E22" s="12">
        <v>0</v>
      </c>
      <c r="F22" s="12">
        <v>0</v>
      </c>
    </row>
    <row r="24" spans="2:20" x14ac:dyDescent="0.2">
      <c r="B24" s="4" t="s">
        <v>66</v>
      </c>
    </row>
    <row r="25" spans="2:20" x14ac:dyDescent="0.2">
      <c r="B25" s="6" t="s">
        <v>67</v>
      </c>
      <c r="C25" t="s">
        <v>68</v>
      </c>
      <c r="P25" s="6">
        <f>-0.01</f>
        <v>-0.01</v>
      </c>
    </row>
    <row r="26" spans="2:20" x14ac:dyDescent="0.2">
      <c r="B26" s="6" t="s">
        <v>69</v>
      </c>
      <c r="C26" t="s">
        <v>70</v>
      </c>
      <c r="P26" s="6">
        <f>-0.02</f>
        <v>-0.02</v>
      </c>
    </row>
    <row r="27" spans="2:20" x14ac:dyDescent="0.2">
      <c r="B27" s="6" t="s">
        <v>71</v>
      </c>
      <c r="C27" t="s">
        <v>72</v>
      </c>
      <c r="P27" s="6">
        <f>0.19</f>
        <v>0.19</v>
      </c>
    </row>
    <row r="29" spans="2:20" x14ac:dyDescent="0.2">
      <c r="B29" s="4" t="s">
        <v>73</v>
      </c>
    </row>
    <row r="30" spans="2:20" x14ac:dyDescent="0.2">
      <c r="B30" s="6" t="s">
        <v>67</v>
      </c>
      <c r="C30" t="s">
        <v>74</v>
      </c>
      <c r="P30" s="6">
        <f>0</f>
        <v>0</v>
      </c>
    </row>
    <row r="31" spans="2:20" x14ac:dyDescent="0.2">
      <c r="B31" s="6" t="s">
        <v>69</v>
      </c>
      <c r="C31" t="s">
        <v>75</v>
      </c>
      <c r="P31" s="6">
        <f>0</f>
        <v>0</v>
      </c>
    </row>
    <row r="32" spans="2:20" x14ac:dyDescent="0.2">
      <c r="B32" s="6" t="s">
        <v>71</v>
      </c>
      <c r="C32" t="s">
        <v>76</v>
      </c>
      <c r="P32" s="6">
        <f>0</f>
        <v>0</v>
      </c>
    </row>
    <row r="34" spans="2:16" x14ac:dyDescent="0.2">
      <c r="B34" s="16" t="s">
        <v>77</v>
      </c>
    </row>
    <row r="35" spans="2:16" x14ac:dyDescent="0.2">
      <c r="B35" s="17" t="s">
        <v>67</v>
      </c>
      <c r="C35">
        <f>-0.01 + 0 + 0.1</f>
        <v>9.0000000000000011E-2</v>
      </c>
      <c r="P35" s="17">
        <f>0.09</f>
        <v>0.09</v>
      </c>
    </row>
    <row r="36" spans="2:16" x14ac:dyDescent="0.2">
      <c r="B36" s="17" t="s">
        <v>69</v>
      </c>
      <c r="C36">
        <f>-0.02 + 0 + -0.05</f>
        <v>-7.0000000000000007E-2</v>
      </c>
      <c r="P36" s="17">
        <f>-0.07</f>
        <v>-7.0000000000000007E-2</v>
      </c>
    </row>
    <row r="37" spans="2:16" x14ac:dyDescent="0.2">
      <c r="B37" s="17" t="s">
        <v>71</v>
      </c>
      <c r="C37">
        <f>0.19 + 0 + 0.05</f>
        <v>0.24</v>
      </c>
      <c r="P37" s="17">
        <f>0.24</f>
        <v>0.24</v>
      </c>
    </row>
    <row r="39" spans="2:16" x14ac:dyDescent="0.2">
      <c r="B39" s="4" t="s">
        <v>78</v>
      </c>
    </row>
    <row r="40" spans="2:16" x14ac:dyDescent="0.2">
      <c r="B40" s="6" t="s">
        <v>67</v>
      </c>
      <c r="C40">
        <f>TANH(0.09)</f>
        <v>8.9757784747160105E-2</v>
      </c>
      <c r="P40" s="6">
        <f>0.0898</f>
        <v>8.9800000000000005E-2</v>
      </c>
    </row>
    <row r="41" spans="2:16" x14ac:dyDescent="0.2">
      <c r="B41" s="6" t="s">
        <v>69</v>
      </c>
      <c r="C41">
        <f>TANH(-0.07)</f>
        <v>-6.9885890316428986E-2</v>
      </c>
      <c r="P41" s="6">
        <f>-0.0699</f>
        <v>-6.9900000000000004E-2</v>
      </c>
    </row>
    <row r="42" spans="2:16" x14ac:dyDescent="0.2">
      <c r="B42" s="6" t="s">
        <v>71</v>
      </c>
      <c r="C42">
        <f>TANH(0.24)</f>
        <v>0.23549574953849794</v>
      </c>
      <c r="P42" s="6">
        <f>0.2355</f>
        <v>0.23549999999999999</v>
      </c>
    </row>
    <row r="44" spans="2:16" x14ac:dyDescent="0.2">
      <c r="B44" s="4" t="s">
        <v>79</v>
      </c>
      <c r="D44" s="6">
        <v>8.9800000000000005E-2</v>
      </c>
      <c r="E44" s="6">
        <v>-6.9900000000000004E-2</v>
      </c>
      <c r="F44" s="6">
        <v>0.23549999999999999</v>
      </c>
    </row>
    <row r="47" spans="2:16" x14ac:dyDescent="0.2">
      <c r="B47" s="39" t="s">
        <v>80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5"/>
    </row>
    <row r="48" spans="2:16" x14ac:dyDescent="0.2">
      <c r="B48" s="14" t="s">
        <v>64</v>
      </c>
      <c r="D48" s="15">
        <v>0.5</v>
      </c>
      <c r="E48" s="15">
        <v>0.3</v>
      </c>
      <c r="F48" s="15">
        <v>-0.1</v>
      </c>
      <c r="G48" s="15">
        <v>0.4</v>
      </c>
    </row>
    <row r="49" spans="2:16" x14ac:dyDescent="0.2">
      <c r="B49" s="1" t="s">
        <v>65</v>
      </c>
      <c r="D49" s="12">
        <v>8.9800000000000005E-2</v>
      </c>
      <c r="E49" s="12">
        <v>-6.9900000000000004E-2</v>
      </c>
      <c r="F49" s="12">
        <v>0.23549999999999999</v>
      </c>
    </row>
    <row r="51" spans="2:16" x14ac:dyDescent="0.2">
      <c r="B51" s="4" t="s">
        <v>66</v>
      </c>
    </row>
    <row r="52" spans="2:16" x14ac:dyDescent="0.2">
      <c r="B52" s="6" t="s">
        <v>67</v>
      </c>
      <c r="C52" t="s">
        <v>81</v>
      </c>
      <c r="P52" s="6">
        <f>0.27</f>
        <v>0.27</v>
      </c>
    </row>
    <row r="53" spans="2:16" x14ac:dyDescent="0.2">
      <c r="B53" s="6" t="s">
        <v>69</v>
      </c>
      <c r="C53" t="s">
        <v>82</v>
      </c>
      <c r="P53" s="6">
        <f>-0.02</f>
        <v>-0.02</v>
      </c>
    </row>
    <row r="54" spans="2:16" x14ac:dyDescent="0.2">
      <c r="B54" s="6" t="s">
        <v>71</v>
      </c>
      <c r="C54" t="s">
        <v>83</v>
      </c>
      <c r="P54" s="6">
        <f>0.16</f>
        <v>0.16</v>
      </c>
    </row>
    <row r="56" spans="2:16" x14ac:dyDescent="0.2">
      <c r="B56" s="4" t="s">
        <v>73</v>
      </c>
    </row>
    <row r="57" spans="2:16" x14ac:dyDescent="0.2">
      <c r="B57" s="6" t="s">
        <v>67</v>
      </c>
      <c r="C57" t="s">
        <v>84</v>
      </c>
      <c r="P57" s="6">
        <f>-0.0126</f>
        <v>-1.26E-2</v>
      </c>
    </row>
    <row r="58" spans="2:16" x14ac:dyDescent="0.2">
      <c r="B58" s="6" t="s">
        <v>69</v>
      </c>
      <c r="C58" t="s">
        <v>85</v>
      </c>
      <c r="P58" s="6">
        <f>0.0172</f>
        <v>1.72E-2</v>
      </c>
    </row>
    <row r="59" spans="2:16" x14ac:dyDescent="0.2">
      <c r="B59" s="6" t="s">
        <v>71</v>
      </c>
      <c r="C59" t="s">
        <v>86</v>
      </c>
      <c r="P59" s="6">
        <f>0.0701</f>
        <v>7.0099999999999996E-2</v>
      </c>
    </row>
    <row r="61" spans="2:16" x14ac:dyDescent="0.2">
      <c r="B61" s="16" t="s">
        <v>77</v>
      </c>
    </row>
    <row r="62" spans="2:16" x14ac:dyDescent="0.2">
      <c r="B62" s="17" t="s">
        <v>67</v>
      </c>
      <c r="C62">
        <f>0.27 + -0.0126 + 0.1</f>
        <v>0.35740000000000005</v>
      </c>
      <c r="P62" s="17">
        <f>0.3574</f>
        <v>0.3574</v>
      </c>
    </row>
    <row r="63" spans="2:16" x14ac:dyDescent="0.2">
      <c r="B63" s="17" t="s">
        <v>69</v>
      </c>
      <c r="C63">
        <f>-0.02 + 0.0172 + -0.05</f>
        <v>-5.28E-2</v>
      </c>
      <c r="P63" s="17">
        <f>-0.0528</f>
        <v>-5.28E-2</v>
      </c>
    </row>
    <row r="64" spans="2:16" x14ac:dyDescent="0.2">
      <c r="B64" s="17" t="s">
        <v>71</v>
      </c>
      <c r="C64">
        <f>0.16 + 0.0701 + 0.05</f>
        <v>0.28010000000000002</v>
      </c>
      <c r="P64" s="17">
        <f>0.2801</f>
        <v>0.28010000000000002</v>
      </c>
    </row>
    <row r="66" spans="2:16" x14ac:dyDescent="0.2">
      <c r="B66" s="4" t="s">
        <v>78</v>
      </c>
    </row>
    <row r="67" spans="2:16" x14ac:dyDescent="0.2">
      <c r="B67" s="6" t="s">
        <v>67</v>
      </c>
      <c r="C67">
        <f>TANH(0.3574)</f>
        <v>0.34292183101517876</v>
      </c>
      <c r="P67" s="6">
        <f>0.3429</f>
        <v>0.34289999999999998</v>
      </c>
    </row>
    <row r="68" spans="2:16" x14ac:dyDescent="0.2">
      <c r="B68" s="6" t="s">
        <v>69</v>
      </c>
      <c r="C68">
        <f>TANH(-0.0528)</f>
        <v>-5.2750988669573493E-2</v>
      </c>
      <c r="P68" s="6">
        <f>-0.0528</f>
        <v>-5.28E-2</v>
      </c>
    </row>
    <row r="69" spans="2:16" x14ac:dyDescent="0.2">
      <c r="B69" s="6" t="s">
        <v>71</v>
      </c>
      <c r="C69">
        <f>TANH(0.2801)</f>
        <v>0.27299763031879465</v>
      </c>
      <c r="P69" s="6">
        <f>0.273</f>
        <v>0.27300000000000002</v>
      </c>
    </row>
    <row r="71" spans="2:16" x14ac:dyDescent="0.2">
      <c r="B71" s="4" t="s">
        <v>79</v>
      </c>
      <c r="D71" s="6">
        <v>0.34289999999999998</v>
      </c>
      <c r="E71" s="6">
        <v>-5.28E-2</v>
      </c>
      <c r="F71" s="6">
        <v>0.27300000000000002</v>
      </c>
    </row>
    <row r="74" spans="2:16" x14ac:dyDescent="0.2">
      <c r="B74" s="39" t="s">
        <v>87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5"/>
    </row>
    <row r="75" spans="2:16" x14ac:dyDescent="0.2">
      <c r="B75" s="14" t="s">
        <v>64</v>
      </c>
      <c r="D75" s="15">
        <v>-0.2</v>
      </c>
      <c r="E75" s="15">
        <v>0.4</v>
      </c>
      <c r="F75" s="15">
        <v>0.3</v>
      </c>
      <c r="G75" s="15">
        <v>-0.3</v>
      </c>
    </row>
    <row r="76" spans="2:16" x14ac:dyDescent="0.2">
      <c r="B76" s="1" t="s">
        <v>65</v>
      </c>
      <c r="D76" s="12">
        <v>0.34289999999999998</v>
      </c>
      <c r="E76" s="12">
        <v>-5.28E-2</v>
      </c>
      <c r="F76" s="12">
        <v>0.27300000000000002</v>
      </c>
    </row>
    <row r="78" spans="2:16" x14ac:dyDescent="0.2">
      <c r="B78" s="4" t="s">
        <v>66</v>
      </c>
    </row>
    <row r="79" spans="2:16" x14ac:dyDescent="0.2">
      <c r="B79" s="6" t="s">
        <v>67</v>
      </c>
      <c r="C79" t="s">
        <v>88</v>
      </c>
      <c r="P79" s="6">
        <f>-0.15</f>
        <v>-0.15</v>
      </c>
    </row>
    <row r="80" spans="2:16" x14ac:dyDescent="0.2">
      <c r="B80" s="6" t="s">
        <v>69</v>
      </c>
      <c r="C80" t="s">
        <v>89</v>
      </c>
      <c r="P80" s="6">
        <f>0.23</f>
        <v>0.23</v>
      </c>
    </row>
    <row r="81" spans="2:16" x14ac:dyDescent="0.2">
      <c r="B81" s="6" t="s">
        <v>71</v>
      </c>
      <c r="C81" t="s">
        <v>90</v>
      </c>
      <c r="P81" s="6">
        <f>-0.17</f>
        <v>-0.17</v>
      </c>
    </row>
    <row r="83" spans="2:16" x14ac:dyDescent="0.2">
      <c r="B83" s="4" t="s">
        <v>73</v>
      </c>
    </row>
    <row r="84" spans="2:16" x14ac:dyDescent="0.2">
      <c r="B84" s="6" t="s">
        <v>67</v>
      </c>
      <c r="C84" t="s">
        <v>91</v>
      </c>
      <c r="P84" s="6">
        <f>0.036</f>
        <v>3.5999999999999997E-2</v>
      </c>
    </row>
    <row r="85" spans="2:16" x14ac:dyDescent="0.2">
      <c r="B85" s="6" t="s">
        <v>69</v>
      </c>
      <c r="C85" t="s">
        <v>92</v>
      </c>
      <c r="P85" s="6">
        <f>0.0045</f>
        <v>4.4999999999999997E-3</v>
      </c>
    </row>
    <row r="86" spans="2:16" x14ac:dyDescent="0.2">
      <c r="B86" s="6" t="s">
        <v>71</v>
      </c>
      <c r="C86" t="s">
        <v>93</v>
      </c>
      <c r="P86" s="6">
        <f>0.0994</f>
        <v>9.9400000000000002E-2</v>
      </c>
    </row>
    <row r="88" spans="2:16" x14ac:dyDescent="0.2">
      <c r="B88" s="16" t="s">
        <v>77</v>
      </c>
    </row>
    <row r="89" spans="2:16" x14ac:dyDescent="0.2">
      <c r="B89" s="17" t="s">
        <v>67</v>
      </c>
      <c r="C89">
        <f>-0.15 + 0.036 + 0.1</f>
        <v>-1.3999999999999985E-2</v>
      </c>
      <c r="P89" s="17">
        <f>-0.014</f>
        <v>-1.4E-2</v>
      </c>
    </row>
    <row r="90" spans="2:16" x14ac:dyDescent="0.2">
      <c r="B90" s="17" t="s">
        <v>69</v>
      </c>
      <c r="C90">
        <f>0.23 + 0.0045 + -0.05</f>
        <v>0.1845</v>
      </c>
      <c r="P90" s="17">
        <f>0.1845</f>
        <v>0.1845</v>
      </c>
    </row>
    <row r="91" spans="2:16" x14ac:dyDescent="0.2">
      <c r="B91" s="17" t="s">
        <v>71</v>
      </c>
      <c r="C91">
        <f>-0.17 + 0.0994 + 0.05</f>
        <v>-2.0600000000000007E-2</v>
      </c>
      <c r="P91" s="17">
        <f>-0.0206</f>
        <v>-2.06E-2</v>
      </c>
    </row>
    <row r="93" spans="2:16" x14ac:dyDescent="0.2">
      <c r="B93" s="4" t="s">
        <v>78</v>
      </c>
    </row>
    <row r="94" spans="2:16" x14ac:dyDescent="0.2">
      <c r="B94" s="6" t="s">
        <v>67</v>
      </c>
      <c r="C94">
        <f>TANH(-0.014)</f>
        <v>-1.3999085405037512E-2</v>
      </c>
      <c r="P94" s="6">
        <f>-0.014</f>
        <v>-1.4E-2</v>
      </c>
    </row>
    <row r="95" spans="2:16" x14ac:dyDescent="0.2">
      <c r="B95" s="6" t="s">
        <v>69</v>
      </c>
      <c r="C95">
        <f>TANH(0.1845)</f>
        <v>0.18243464219184199</v>
      </c>
      <c r="P95" s="6">
        <f>0.1824</f>
        <v>0.18240000000000001</v>
      </c>
    </row>
    <row r="96" spans="2:16" x14ac:dyDescent="0.2">
      <c r="B96" s="6" t="s">
        <v>71</v>
      </c>
      <c r="C96">
        <f>TANH(-0.0206)</f>
        <v>-2.0597086555871995E-2</v>
      </c>
      <c r="P96" s="6">
        <f>-0.0206</f>
        <v>-2.06E-2</v>
      </c>
    </row>
    <row r="98" spans="2:20" x14ac:dyDescent="0.2">
      <c r="B98" s="4" t="s">
        <v>79</v>
      </c>
      <c r="D98" s="6">
        <v>-1.4E-2</v>
      </c>
      <c r="E98" s="6">
        <v>0.18240000000000001</v>
      </c>
      <c r="F98" s="6">
        <v>-2.06E-2</v>
      </c>
    </row>
    <row r="101" spans="2:20" x14ac:dyDescent="0.2">
      <c r="B101" s="40" t="s">
        <v>94</v>
      </c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5"/>
    </row>
    <row r="103" spans="2:20" x14ac:dyDescent="0.2">
      <c r="B103" s="9" t="s">
        <v>95</v>
      </c>
      <c r="D103" s="18">
        <v>-1.4E-2</v>
      </c>
      <c r="E103" s="18">
        <v>0.18240000000000001</v>
      </c>
      <c r="F103" s="18">
        <v>-2.06E-2</v>
      </c>
    </row>
    <row r="104" spans="2:20" x14ac:dyDescent="0.2">
      <c r="B104" t="s">
        <v>96</v>
      </c>
    </row>
  </sheetData>
  <mergeCells count="8">
    <mergeCell ref="A1:J1"/>
    <mergeCell ref="B101:T101"/>
    <mergeCell ref="B4:N4"/>
    <mergeCell ref="B2:AH2"/>
    <mergeCell ref="B74:N74"/>
    <mergeCell ref="B18:T18"/>
    <mergeCell ref="B47:N47"/>
    <mergeCell ref="B20:N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46"/>
  <sheetViews>
    <sheetView topLeftCell="A122" workbookViewId="0">
      <selection activeCell="F21" sqref="F21"/>
    </sheetView>
  </sheetViews>
  <sheetFormatPr baseColWidth="10" defaultColWidth="8.83203125" defaultRowHeight="15" x14ac:dyDescent="0.2"/>
  <cols>
    <col min="1" max="1" width="12" customWidth="1"/>
    <col min="2" max="2" width="32.83203125" customWidth="1"/>
    <col min="3" max="4" width="12" customWidth="1"/>
    <col min="5" max="5" width="30.5" customWidth="1"/>
    <col min="6" max="8" width="12" customWidth="1"/>
    <col min="9" max="21" width="9" customWidth="1"/>
  </cols>
  <sheetData>
    <row r="1" spans="1:34" x14ac:dyDescent="0.2">
      <c r="A1" s="36" t="s">
        <v>97</v>
      </c>
      <c r="B1" s="37"/>
      <c r="C1" s="37"/>
      <c r="D1" s="37"/>
      <c r="E1" s="37"/>
      <c r="F1" s="37"/>
      <c r="G1" s="37"/>
      <c r="H1" s="37"/>
      <c r="I1" s="37"/>
      <c r="J1" s="37"/>
    </row>
    <row r="2" spans="1:34" x14ac:dyDescent="0.2">
      <c r="B2" s="38" t="s">
        <v>98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5"/>
    </row>
    <row r="4" spans="1:34" ht="48" x14ac:dyDescent="0.2">
      <c r="B4" s="47" t="s">
        <v>99</v>
      </c>
    </row>
    <row r="6" spans="1:34" x14ac:dyDescent="0.2">
      <c r="B6" s="9" t="s">
        <v>100</v>
      </c>
    </row>
    <row r="7" spans="1:34" x14ac:dyDescent="0.2">
      <c r="B7" s="18" t="s">
        <v>101</v>
      </c>
      <c r="E7" s="18">
        <v>-1.4E-2</v>
      </c>
      <c r="F7" s="18">
        <v>0.18240000000000001</v>
      </c>
      <c r="G7" s="18">
        <v>-2.06E-2</v>
      </c>
    </row>
    <row r="10" spans="1:34" x14ac:dyDescent="0.2">
      <c r="B10" s="5" t="s">
        <v>102</v>
      </c>
      <c r="E10" s="19" t="s">
        <v>103</v>
      </c>
    </row>
    <row r="11" spans="1:34" x14ac:dyDescent="0.2">
      <c r="B11" s="13" t="s">
        <v>104</v>
      </c>
      <c r="E11" s="20" t="s">
        <v>105</v>
      </c>
    </row>
    <row r="14" spans="1:34" x14ac:dyDescent="0.2">
      <c r="B14" s="38" t="s">
        <v>106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5"/>
    </row>
    <row r="15" spans="1:34" x14ac:dyDescent="0.2">
      <c r="B15" s="14" t="s">
        <v>107</v>
      </c>
      <c r="E15" s="15">
        <v>0.1</v>
      </c>
      <c r="F15" s="15">
        <v>0.2</v>
      </c>
      <c r="G15" s="15">
        <v>-0.1</v>
      </c>
      <c r="H15" s="15">
        <v>0.1</v>
      </c>
    </row>
    <row r="16" spans="1:34" x14ac:dyDescent="0.2">
      <c r="B16" s="1" t="s">
        <v>108</v>
      </c>
      <c r="E16" s="12">
        <v>-1.4E-2</v>
      </c>
      <c r="F16" s="12">
        <v>0.18240000000000001</v>
      </c>
      <c r="G16" s="12">
        <v>-2.06E-2</v>
      </c>
    </row>
    <row r="18" spans="2:2" x14ac:dyDescent="0.2">
      <c r="B18" s="5" t="s">
        <v>109</v>
      </c>
    </row>
    <row r="19" spans="2:2" x14ac:dyDescent="0.2">
      <c r="B19" s="7" t="s">
        <v>110</v>
      </c>
    </row>
    <row r="20" spans="2:2" x14ac:dyDescent="0.2">
      <c r="B20" s="7" t="s">
        <v>111</v>
      </c>
    </row>
    <row r="21" spans="2:2" x14ac:dyDescent="0.2">
      <c r="B21" s="7" t="s">
        <v>112</v>
      </c>
    </row>
    <row r="23" spans="2:2" x14ac:dyDescent="0.2">
      <c r="B23" s="5" t="s">
        <v>113</v>
      </c>
    </row>
    <row r="24" spans="2:2" x14ac:dyDescent="0.2">
      <c r="B24" s="7" t="s">
        <v>114</v>
      </c>
    </row>
    <row r="25" spans="2:2" x14ac:dyDescent="0.2">
      <c r="B25" s="7" t="s">
        <v>115</v>
      </c>
    </row>
    <row r="26" spans="2:2" x14ac:dyDescent="0.2">
      <c r="B26" s="7" t="s">
        <v>116</v>
      </c>
    </row>
    <row r="28" spans="2:2" x14ac:dyDescent="0.2">
      <c r="B28" s="16" t="s">
        <v>117</v>
      </c>
    </row>
    <row r="29" spans="2:2" x14ac:dyDescent="0.2">
      <c r="B29" s="17" t="s">
        <v>118</v>
      </c>
    </row>
    <row r="30" spans="2:2" x14ac:dyDescent="0.2">
      <c r="B30" s="17" t="s">
        <v>119</v>
      </c>
    </row>
    <row r="31" spans="2:2" x14ac:dyDescent="0.2">
      <c r="B31" s="17" t="s">
        <v>120</v>
      </c>
    </row>
    <row r="33" spans="2:20" x14ac:dyDescent="0.2">
      <c r="B33" s="5" t="s">
        <v>121</v>
      </c>
      <c r="E33" s="7">
        <v>6.8000000000000005E-2</v>
      </c>
      <c r="F33" s="7">
        <v>0.1643</v>
      </c>
      <c r="G33" s="7">
        <v>4.2799999999999998E-2</v>
      </c>
    </row>
    <row r="35" spans="2:20" x14ac:dyDescent="0.2">
      <c r="B35" s="13" t="s">
        <v>122</v>
      </c>
    </row>
    <row r="36" spans="2:20" x14ac:dyDescent="0.2">
      <c r="B36" s="12" t="s">
        <v>43</v>
      </c>
      <c r="D36" s="21">
        <v>0.17480000000000001</v>
      </c>
    </row>
    <row r="37" spans="2:20" x14ac:dyDescent="0.2">
      <c r="B37" s="12" t="s">
        <v>11</v>
      </c>
      <c r="D37" s="21">
        <v>0.1739</v>
      </c>
    </row>
    <row r="38" spans="2:20" x14ac:dyDescent="0.2">
      <c r="B38" s="12" t="s">
        <v>22</v>
      </c>
      <c r="D38" s="21">
        <v>0.14499999999999999</v>
      </c>
    </row>
    <row r="39" spans="2:20" x14ac:dyDescent="0.2">
      <c r="B39" s="12" t="s">
        <v>8</v>
      </c>
      <c r="D39" s="22">
        <v>0.1757</v>
      </c>
      <c r="F39" s="23" t="s">
        <v>123</v>
      </c>
    </row>
    <row r="40" spans="2:20" x14ac:dyDescent="0.2">
      <c r="B40" s="12" t="s">
        <v>10</v>
      </c>
      <c r="D40" s="21">
        <v>0.15909999999999999</v>
      </c>
    </row>
    <row r="41" spans="2:20" x14ac:dyDescent="0.2">
      <c r="B41" s="12" t="s">
        <v>9</v>
      </c>
      <c r="D41" s="21">
        <v>0.17150000000000001</v>
      </c>
    </row>
    <row r="43" spans="2:20" x14ac:dyDescent="0.2">
      <c r="B43" s="24" t="s">
        <v>124</v>
      </c>
    </row>
    <row r="44" spans="2:20" x14ac:dyDescent="0.2">
      <c r="B44" s="10" t="s">
        <v>125</v>
      </c>
    </row>
    <row r="47" spans="2:20" x14ac:dyDescent="0.2">
      <c r="B47" s="38" t="s">
        <v>126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5"/>
    </row>
    <row r="48" spans="2:20" x14ac:dyDescent="0.2">
      <c r="B48" s="14" t="s">
        <v>127</v>
      </c>
      <c r="E48" s="15">
        <v>0.4</v>
      </c>
      <c r="F48" s="15">
        <v>0.1</v>
      </c>
      <c r="G48" s="15">
        <v>-0.2</v>
      </c>
      <c r="H48" s="15">
        <v>0.3</v>
      </c>
    </row>
    <row r="49" spans="2:7" x14ac:dyDescent="0.2">
      <c r="B49" s="1" t="s">
        <v>108</v>
      </c>
      <c r="E49" s="12">
        <v>6.8000000000000005E-2</v>
      </c>
      <c r="F49" s="12">
        <v>0.1643</v>
      </c>
      <c r="G49" s="12">
        <v>4.2799999999999998E-2</v>
      </c>
    </row>
    <row r="51" spans="2:7" x14ac:dyDescent="0.2">
      <c r="B51" s="5" t="s">
        <v>109</v>
      </c>
    </row>
    <row r="52" spans="2:7" x14ac:dyDescent="0.2">
      <c r="B52" s="7" t="s">
        <v>128</v>
      </c>
    </row>
    <row r="53" spans="2:7" x14ac:dyDescent="0.2">
      <c r="B53" s="7" t="s">
        <v>129</v>
      </c>
    </row>
    <row r="54" spans="2:7" x14ac:dyDescent="0.2">
      <c r="B54" s="7" t="s">
        <v>130</v>
      </c>
    </row>
    <row r="56" spans="2:7" x14ac:dyDescent="0.2">
      <c r="B56" s="5" t="s">
        <v>113</v>
      </c>
    </row>
    <row r="57" spans="2:7" x14ac:dyDescent="0.2">
      <c r="B57" s="7" t="s">
        <v>131</v>
      </c>
    </row>
    <row r="58" spans="2:7" x14ac:dyDescent="0.2">
      <c r="B58" s="7" t="s">
        <v>132</v>
      </c>
    </row>
    <row r="59" spans="2:7" x14ac:dyDescent="0.2">
      <c r="B59" s="7" t="s">
        <v>133</v>
      </c>
    </row>
    <row r="61" spans="2:7" x14ac:dyDescent="0.2">
      <c r="B61" s="16" t="s">
        <v>117</v>
      </c>
    </row>
    <row r="62" spans="2:7" x14ac:dyDescent="0.2">
      <c r="B62" s="17" t="s">
        <v>134</v>
      </c>
    </row>
    <row r="63" spans="2:7" x14ac:dyDescent="0.2">
      <c r="B63" s="17" t="s">
        <v>135</v>
      </c>
    </row>
    <row r="64" spans="2:7" x14ac:dyDescent="0.2">
      <c r="B64" s="17" t="s">
        <v>136</v>
      </c>
    </row>
    <row r="66" spans="2:20" x14ac:dyDescent="0.2">
      <c r="B66" s="5" t="s">
        <v>121</v>
      </c>
      <c r="E66" s="7">
        <v>0.1764</v>
      </c>
      <c r="F66" s="7">
        <v>1.03E-2</v>
      </c>
      <c r="G66" s="7">
        <v>0.19739999999999999</v>
      </c>
    </row>
    <row r="68" spans="2:20" x14ac:dyDescent="0.2">
      <c r="B68" s="13" t="s">
        <v>122</v>
      </c>
    </row>
    <row r="69" spans="2:20" x14ac:dyDescent="0.2">
      <c r="B69" s="12" t="s">
        <v>43</v>
      </c>
      <c r="D69" s="21">
        <v>0.19400000000000001</v>
      </c>
    </row>
    <row r="70" spans="2:20" x14ac:dyDescent="0.2">
      <c r="B70" s="12" t="s">
        <v>11</v>
      </c>
      <c r="D70" s="21">
        <v>0.16259999999999999</v>
      </c>
    </row>
    <row r="71" spans="2:20" x14ac:dyDescent="0.2">
      <c r="B71" s="12" t="s">
        <v>22</v>
      </c>
      <c r="D71" s="21">
        <v>0.1462</v>
      </c>
    </row>
    <row r="72" spans="2:20" x14ac:dyDescent="0.2">
      <c r="B72" s="12" t="s">
        <v>8</v>
      </c>
      <c r="D72" s="21">
        <v>0.18709999999999999</v>
      </c>
    </row>
    <row r="73" spans="2:20" x14ac:dyDescent="0.2">
      <c r="B73" s="12" t="s">
        <v>10</v>
      </c>
      <c r="D73" s="22">
        <v>0.1479</v>
      </c>
      <c r="F73" s="23" t="s">
        <v>123</v>
      </c>
    </row>
    <row r="74" spans="2:20" x14ac:dyDescent="0.2">
      <c r="B74" s="12" t="s">
        <v>9</v>
      </c>
      <c r="D74" s="21">
        <v>0.16209999999999999</v>
      </c>
    </row>
    <row r="76" spans="2:20" x14ac:dyDescent="0.2">
      <c r="B76" s="24" t="s">
        <v>137</v>
      </c>
    </row>
    <row r="77" spans="2:20" x14ac:dyDescent="0.2">
      <c r="B77" s="10" t="s">
        <v>138</v>
      </c>
    </row>
    <row r="80" spans="2:20" x14ac:dyDescent="0.2">
      <c r="B80" s="38" t="s">
        <v>139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5"/>
    </row>
    <row r="81" spans="2:8" x14ac:dyDescent="0.2">
      <c r="B81" s="14" t="s">
        <v>140</v>
      </c>
      <c r="E81" s="15">
        <v>-0.1</v>
      </c>
      <c r="F81" s="15">
        <v>0.5</v>
      </c>
      <c r="G81" s="15">
        <v>0.2</v>
      </c>
      <c r="H81" s="15">
        <v>-0.2</v>
      </c>
    </row>
    <row r="82" spans="2:8" x14ac:dyDescent="0.2">
      <c r="B82" s="1" t="s">
        <v>108</v>
      </c>
      <c r="E82" s="12">
        <v>0.1764</v>
      </c>
      <c r="F82" s="12">
        <v>1.03E-2</v>
      </c>
      <c r="G82" s="12">
        <v>0.19739999999999999</v>
      </c>
    </row>
    <row r="84" spans="2:8" x14ac:dyDescent="0.2">
      <c r="B84" s="5" t="s">
        <v>109</v>
      </c>
    </row>
    <row r="85" spans="2:8" x14ac:dyDescent="0.2">
      <c r="B85" s="7" t="s">
        <v>141</v>
      </c>
    </row>
    <row r="86" spans="2:8" x14ac:dyDescent="0.2">
      <c r="B86" s="7" t="s">
        <v>142</v>
      </c>
    </row>
    <row r="87" spans="2:8" x14ac:dyDescent="0.2">
      <c r="B87" s="7" t="s">
        <v>143</v>
      </c>
    </row>
    <row r="89" spans="2:8" x14ac:dyDescent="0.2">
      <c r="B89" s="5" t="s">
        <v>113</v>
      </c>
    </row>
    <row r="90" spans="2:8" x14ac:dyDescent="0.2">
      <c r="B90" s="7" t="s">
        <v>144</v>
      </c>
    </row>
    <row r="91" spans="2:8" x14ac:dyDescent="0.2">
      <c r="B91" s="7" t="s">
        <v>145</v>
      </c>
    </row>
    <row r="92" spans="2:8" x14ac:dyDescent="0.2">
      <c r="B92" s="7" t="s">
        <v>146</v>
      </c>
    </row>
    <row r="94" spans="2:8" x14ac:dyDescent="0.2">
      <c r="B94" s="16" t="s">
        <v>117</v>
      </c>
    </row>
    <row r="95" spans="2:8" x14ac:dyDescent="0.2">
      <c r="B95" s="17" t="s">
        <v>147</v>
      </c>
    </row>
    <row r="96" spans="2:8" x14ac:dyDescent="0.2">
      <c r="B96" s="17" t="s">
        <v>148</v>
      </c>
    </row>
    <row r="97" spans="2:7" x14ac:dyDescent="0.2">
      <c r="B97" s="17" t="s">
        <v>149</v>
      </c>
    </row>
    <row r="99" spans="2:7" x14ac:dyDescent="0.2">
      <c r="B99" s="5" t="s">
        <v>121</v>
      </c>
      <c r="E99" s="7">
        <v>4.4999999999999997E-3</v>
      </c>
      <c r="F99" s="7">
        <v>0.36630000000000001</v>
      </c>
      <c r="G99" s="7">
        <v>-6.4999999999999997E-3</v>
      </c>
    </row>
    <row r="101" spans="2:7" x14ac:dyDescent="0.2">
      <c r="B101" s="13" t="s">
        <v>122</v>
      </c>
    </row>
    <row r="102" spans="2:7" x14ac:dyDescent="0.2">
      <c r="B102" s="12" t="s">
        <v>43</v>
      </c>
      <c r="D102" s="21">
        <v>0.15959999999999999</v>
      </c>
    </row>
    <row r="103" spans="2:7" x14ac:dyDescent="0.2">
      <c r="B103" s="12" t="s">
        <v>11</v>
      </c>
      <c r="D103" s="21">
        <v>0.1825</v>
      </c>
    </row>
    <row r="104" spans="2:7" x14ac:dyDescent="0.2">
      <c r="B104" s="12" t="s">
        <v>22</v>
      </c>
      <c r="D104" s="21">
        <v>0.14530000000000001</v>
      </c>
    </row>
    <row r="105" spans="2:7" x14ac:dyDescent="0.2">
      <c r="B105" s="12" t="s">
        <v>8</v>
      </c>
      <c r="D105" s="21">
        <v>0.16550000000000001</v>
      </c>
    </row>
    <row r="106" spans="2:7" x14ac:dyDescent="0.2">
      <c r="B106" s="12" t="s">
        <v>10</v>
      </c>
      <c r="D106" s="21">
        <v>0.1709</v>
      </c>
    </row>
    <row r="107" spans="2:7" x14ac:dyDescent="0.2">
      <c r="B107" s="12" t="s">
        <v>9</v>
      </c>
      <c r="D107" s="22">
        <v>0.17610000000000001</v>
      </c>
      <c r="F107" s="23" t="s">
        <v>123</v>
      </c>
    </row>
    <row r="109" spans="2:7" x14ac:dyDescent="0.2">
      <c r="B109" s="24" t="s">
        <v>150</v>
      </c>
    </row>
    <row r="110" spans="2:7" x14ac:dyDescent="0.2">
      <c r="B110" s="10" t="s">
        <v>151</v>
      </c>
    </row>
    <row r="113" spans="2:20" x14ac:dyDescent="0.2">
      <c r="B113" s="38" t="s">
        <v>152</v>
      </c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5"/>
    </row>
    <row r="114" spans="2:20" x14ac:dyDescent="0.2">
      <c r="B114" s="14" t="s">
        <v>153</v>
      </c>
      <c r="E114" s="15">
        <v>0.3</v>
      </c>
      <c r="F114" s="15">
        <v>-0.3</v>
      </c>
      <c r="G114" s="15">
        <v>0.4</v>
      </c>
      <c r="H114" s="15">
        <v>0.5</v>
      </c>
    </row>
    <row r="115" spans="2:20" x14ac:dyDescent="0.2">
      <c r="B115" s="1" t="s">
        <v>108</v>
      </c>
      <c r="E115" s="12">
        <v>4.4999999999999997E-3</v>
      </c>
      <c r="F115" s="12">
        <v>0.36630000000000001</v>
      </c>
      <c r="G115" s="12">
        <v>-6.4999999999999997E-3</v>
      </c>
    </row>
    <row r="117" spans="2:20" x14ac:dyDescent="0.2">
      <c r="B117" s="5" t="s">
        <v>109</v>
      </c>
    </row>
    <row r="118" spans="2:20" x14ac:dyDescent="0.2">
      <c r="B118" s="7" t="s">
        <v>154</v>
      </c>
    </row>
    <row r="119" spans="2:20" x14ac:dyDescent="0.2">
      <c r="B119" s="7" t="s">
        <v>155</v>
      </c>
    </row>
    <row r="120" spans="2:20" x14ac:dyDescent="0.2">
      <c r="B120" s="7" t="s">
        <v>156</v>
      </c>
    </row>
    <row r="122" spans="2:20" x14ac:dyDescent="0.2">
      <c r="B122" s="5" t="s">
        <v>113</v>
      </c>
    </row>
    <row r="123" spans="2:20" x14ac:dyDescent="0.2">
      <c r="B123" s="7" t="s">
        <v>157</v>
      </c>
    </row>
    <row r="124" spans="2:20" x14ac:dyDescent="0.2">
      <c r="B124" s="7" t="s">
        <v>158</v>
      </c>
    </row>
    <row r="125" spans="2:20" x14ac:dyDescent="0.2">
      <c r="B125" s="7" t="s">
        <v>159</v>
      </c>
    </row>
    <row r="127" spans="2:20" x14ac:dyDescent="0.2">
      <c r="B127" s="16" t="s">
        <v>117</v>
      </c>
    </row>
    <row r="128" spans="2:20" x14ac:dyDescent="0.2">
      <c r="B128" s="17" t="s">
        <v>160</v>
      </c>
    </row>
    <row r="129" spans="2:7" x14ac:dyDescent="0.2">
      <c r="B129" s="17" t="s">
        <v>161</v>
      </c>
    </row>
    <row r="130" spans="2:7" x14ac:dyDescent="0.2">
      <c r="B130" s="17" t="s">
        <v>159</v>
      </c>
    </row>
    <row r="132" spans="2:7" x14ac:dyDescent="0.2">
      <c r="B132" s="5" t="s">
        <v>121</v>
      </c>
      <c r="E132" s="7">
        <v>0.32679999999999998</v>
      </c>
      <c r="F132" s="7">
        <v>-6.7699999999999996E-2</v>
      </c>
      <c r="G132" s="7">
        <v>-3.7699999999999997E-2</v>
      </c>
    </row>
    <row r="134" spans="2:7" x14ac:dyDescent="0.2">
      <c r="B134" s="13" t="s">
        <v>122</v>
      </c>
    </row>
    <row r="135" spans="2:7" x14ac:dyDescent="0.2">
      <c r="B135" s="12" t="s">
        <v>43</v>
      </c>
      <c r="D135" s="21">
        <v>0.19769999999999999</v>
      </c>
    </row>
    <row r="136" spans="2:7" x14ac:dyDescent="0.2">
      <c r="B136" s="12" t="s">
        <v>11</v>
      </c>
      <c r="D136" s="21">
        <v>0.1673</v>
      </c>
    </row>
    <row r="137" spans="2:7" x14ac:dyDescent="0.2">
      <c r="B137" s="12" t="s">
        <v>22</v>
      </c>
      <c r="D137" s="22">
        <v>0.12989999999999999</v>
      </c>
      <c r="F137" s="23" t="s">
        <v>123</v>
      </c>
    </row>
    <row r="138" spans="2:7" x14ac:dyDescent="0.2">
      <c r="B138" s="12" t="s">
        <v>8</v>
      </c>
      <c r="D138" s="21">
        <v>0.19070000000000001</v>
      </c>
    </row>
    <row r="139" spans="2:7" x14ac:dyDescent="0.2">
      <c r="B139" s="12" t="s">
        <v>10</v>
      </c>
      <c r="D139" s="21">
        <v>0.13980000000000001</v>
      </c>
    </row>
    <row r="140" spans="2:7" x14ac:dyDescent="0.2">
      <c r="B140" s="12" t="s">
        <v>9</v>
      </c>
      <c r="D140" s="21">
        <v>0.17469999999999999</v>
      </c>
    </row>
    <row r="142" spans="2:7" x14ac:dyDescent="0.2">
      <c r="B142" s="24" t="s">
        <v>137</v>
      </c>
    </row>
    <row r="143" spans="2:7" x14ac:dyDescent="0.2">
      <c r="B143" s="10" t="s">
        <v>162</v>
      </c>
    </row>
    <row r="146" spans="2:14" x14ac:dyDescent="0.2">
      <c r="B146" s="41" t="s">
        <v>163</v>
      </c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5"/>
    </row>
  </sheetData>
  <mergeCells count="7">
    <mergeCell ref="A1:J1"/>
    <mergeCell ref="B80:T80"/>
    <mergeCell ref="B146:N146"/>
    <mergeCell ref="B14:T14"/>
    <mergeCell ref="B2:AH2"/>
    <mergeCell ref="B113:T113"/>
    <mergeCell ref="B47:T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99"/>
  <sheetViews>
    <sheetView workbookViewId="0">
      <selection sqref="A1:J1"/>
    </sheetView>
  </sheetViews>
  <sheetFormatPr baseColWidth="10" defaultColWidth="8.83203125" defaultRowHeight="15" x14ac:dyDescent="0.2"/>
  <cols>
    <col min="1" max="1" width="12" customWidth="1"/>
    <col min="2" max="2" width="47.1640625" customWidth="1"/>
    <col min="3" max="5" width="12" customWidth="1"/>
    <col min="6" max="6" width="23" customWidth="1"/>
    <col min="7" max="10" width="12" customWidth="1"/>
    <col min="11" max="21" width="9" customWidth="1"/>
  </cols>
  <sheetData>
    <row r="1" spans="1:34" x14ac:dyDescent="0.2">
      <c r="A1" s="36" t="s">
        <v>164</v>
      </c>
      <c r="B1" s="37"/>
      <c r="C1" s="37"/>
      <c r="D1" s="37"/>
      <c r="E1" s="37"/>
      <c r="F1" s="37"/>
      <c r="G1" s="37"/>
      <c r="H1" s="37"/>
      <c r="I1" s="37"/>
      <c r="J1" s="37"/>
    </row>
    <row r="2" spans="1:34" x14ac:dyDescent="0.2">
      <c r="B2" s="38" t="s">
        <v>165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5"/>
    </row>
    <row r="4" spans="1:34" x14ac:dyDescent="0.2">
      <c r="B4" s="25" t="s">
        <v>166</v>
      </c>
    </row>
    <row r="6" spans="1:34" x14ac:dyDescent="0.2">
      <c r="B6" s="9" t="s">
        <v>100</v>
      </c>
    </row>
    <row r="7" spans="1:34" x14ac:dyDescent="0.2">
      <c r="B7" s="18" t="s">
        <v>101</v>
      </c>
      <c r="E7" s="18">
        <v>-1.4E-2</v>
      </c>
      <c r="F7" s="18">
        <v>0.18240000000000001</v>
      </c>
      <c r="G7" s="18">
        <v>-2.06E-2</v>
      </c>
    </row>
    <row r="9" spans="1:34" x14ac:dyDescent="0.2">
      <c r="B9" s="5" t="s">
        <v>167</v>
      </c>
    </row>
    <row r="12" spans="1:34" x14ac:dyDescent="0.2">
      <c r="B12" s="38" t="s">
        <v>168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5"/>
    </row>
    <row r="13" spans="1:34" x14ac:dyDescent="0.2">
      <c r="B13" s="10" t="s">
        <v>169</v>
      </c>
    </row>
    <row r="15" spans="1:34" x14ac:dyDescent="0.2">
      <c r="B15" s="14" t="s">
        <v>107</v>
      </c>
      <c r="E15" s="15">
        <v>0.1</v>
      </c>
      <c r="F15" s="15">
        <v>0.2</v>
      </c>
      <c r="G15" s="15">
        <v>-0.1</v>
      </c>
      <c r="H15" s="15">
        <v>0.1</v>
      </c>
    </row>
    <row r="16" spans="1:34" x14ac:dyDescent="0.2">
      <c r="B16" s="1" t="s">
        <v>108</v>
      </c>
      <c r="E16" s="12">
        <v>-1.4E-2</v>
      </c>
      <c r="F16" s="12">
        <v>0.18240000000000001</v>
      </c>
      <c r="G16" s="12">
        <v>-2.06E-2</v>
      </c>
    </row>
    <row r="18" spans="2:6" x14ac:dyDescent="0.2">
      <c r="B18" s="5" t="s">
        <v>170</v>
      </c>
    </row>
    <row r="19" spans="2:6" x14ac:dyDescent="0.2">
      <c r="B19" s="7" t="s">
        <v>171</v>
      </c>
      <c r="D19" s="7">
        <v>6.8000000000000005E-2</v>
      </c>
      <c r="E19" s="7">
        <v>0.1643</v>
      </c>
      <c r="F19" s="7">
        <v>4.2799999999999998E-2</v>
      </c>
    </row>
    <row r="21" spans="2:6" x14ac:dyDescent="0.2">
      <c r="B21" s="13" t="s">
        <v>172</v>
      </c>
    </row>
    <row r="22" spans="2:6" x14ac:dyDescent="0.2">
      <c r="B22" s="12" t="s">
        <v>43</v>
      </c>
      <c r="D22" s="21">
        <v>0.17480000000000001</v>
      </c>
    </row>
    <row r="23" spans="2:6" x14ac:dyDescent="0.2">
      <c r="B23" s="12" t="s">
        <v>11</v>
      </c>
      <c r="D23" s="21">
        <v>0.1739</v>
      </c>
    </row>
    <row r="24" spans="2:6" x14ac:dyDescent="0.2">
      <c r="B24" s="12" t="s">
        <v>22</v>
      </c>
      <c r="D24" s="21">
        <v>0.14499999999999999</v>
      </c>
    </row>
    <row r="25" spans="2:6" x14ac:dyDescent="0.2">
      <c r="B25" s="12" t="s">
        <v>8</v>
      </c>
      <c r="D25" s="22">
        <v>0.1757</v>
      </c>
      <c r="F25" s="26" t="s">
        <v>173</v>
      </c>
    </row>
    <row r="26" spans="2:6" x14ac:dyDescent="0.2">
      <c r="B26" s="12" t="s">
        <v>10</v>
      </c>
      <c r="D26" s="21">
        <v>0.15909999999999999</v>
      </c>
    </row>
    <row r="27" spans="2:6" x14ac:dyDescent="0.2">
      <c r="B27" s="12" t="s">
        <v>9</v>
      </c>
      <c r="D27" s="21">
        <v>0.17150000000000001</v>
      </c>
    </row>
    <row r="29" spans="2:6" x14ac:dyDescent="0.2">
      <c r="B29" s="24" t="s">
        <v>124</v>
      </c>
    </row>
    <row r="30" spans="2:6" x14ac:dyDescent="0.2">
      <c r="B30" s="27" t="s">
        <v>174</v>
      </c>
    </row>
    <row r="33" spans="2:20" x14ac:dyDescent="0.2">
      <c r="B33" s="38" t="s">
        <v>175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</row>
    <row r="34" spans="2:20" x14ac:dyDescent="0.2">
      <c r="B34" s="10" t="s">
        <v>176</v>
      </c>
    </row>
    <row r="36" spans="2:20" x14ac:dyDescent="0.2">
      <c r="B36" s="14" t="s">
        <v>127</v>
      </c>
      <c r="E36" s="15">
        <v>0.4</v>
      </c>
      <c r="F36" s="15">
        <v>0.1</v>
      </c>
      <c r="G36" s="15">
        <v>-0.2</v>
      </c>
      <c r="H36" s="15">
        <v>0.3</v>
      </c>
    </row>
    <row r="37" spans="2:20" x14ac:dyDescent="0.2">
      <c r="B37" s="1" t="s">
        <v>108</v>
      </c>
      <c r="E37" s="12">
        <v>6.8000000000000005E-2</v>
      </c>
      <c r="F37" s="12">
        <v>0.1643</v>
      </c>
      <c r="G37" s="12">
        <v>4.2799999999999998E-2</v>
      </c>
    </row>
    <row r="39" spans="2:20" x14ac:dyDescent="0.2">
      <c r="B39" s="5" t="s">
        <v>170</v>
      </c>
    </row>
    <row r="40" spans="2:20" x14ac:dyDescent="0.2">
      <c r="B40" s="7" t="s">
        <v>171</v>
      </c>
      <c r="D40" s="7">
        <v>0.1764</v>
      </c>
      <c r="E40" s="7">
        <v>1.03E-2</v>
      </c>
      <c r="F40" s="7">
        <v>0.19739999999999999</v>
      </c>
    </row>
    <row r="42" spans="2:20" x14ac:dyDescent="0.2">
      <c r="B42" s="13" t="s">
        <v>172</v>
      </c>
    </row>
    <row r="43" spans="2:20" x14ac:dyDescent="0.2">
      <c r="B43" s="12" t="s">
        <v>43</v>
      </c>
      <c r="D43" s="22">
        <v>0.19400000000000001</v>
      </c>
      <c r="F43" s="26" t="s">
        <v>173</v>
      </c>
    </row>
    <row r="44" spans="2:20" x14ac:dyDescent="0.2">
      <c r="B44" s="12" t="s">
        <v>11</v>
      </c>
      <c r="D44" s="21">
        <v>0.16259999999999999</v>
      </c>
    </row>
    <row r="45" spans="2:20" x14ac:dyDescent="0.2">
      <c r="B45" s="12" t="s">
        <v>22</v>
      </c>
      <c r="D45" s="21">
        <v>0.1462</v>
      </c>
    </row>
    <row r="46" spans="2:20" x14ac:dyDescent="0.2">
      <c r="B46" s="12" t="s">
        <v>8</v>
      </c>
      <c r="D46" s="21">
        <v>0.18709999999999999</v>
      </c>
    </row>
    <row r="47" spans="2:20" x14ac:dyDescent="0.2">
      <c r="B47" s="12" t="s">
        <v>10</v>
      </c>
      <c r="D47" s="21">
        <v>0.1479</v>
      </c>
    </row>
    <row r="48" spans="2:20" x14ac:dyDescent="0.2">
      <c r="B48" s="12" t="s">
        <v>9</v>
      </c>
      <c r="D48" s="21">
        <v>0.16209999999999999</v>
      </c>
    </row>
    <row r="50" spans="2:20" x14ac:dyDescent="0.2">
      <c r="B50" s="24" t="s">
        <v>137</v>
      </c>
    </row>
    <row r="51" spans="2:20" x14ac:dyDescent="0.2">
      <c r="B51" s="27" t="s">
        <v>177</v>
      </c>
    </row>
    <row r="54" spans="2:20" x14ac:dyDescent="0.2">
      <c r="B54" s="38" t="s">
        <v>178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5"/>
    </row>
    <row r="55" spans="2:20" x14ac:dyDescent="0.2">
      <c r="B55" s="10" t="s">
        <v>179</v>
      </c>
    </row>
    <row r="57" spans="2:20" x14ac:dyDescent="0.2">
      <c r="B57" s="14" t="s">
        <v>180</v>
      </c>
      <c r="E57" s="15">
        <v>0</v>
      </c>
      <c r="F57" s="15">
        <v>0</v>
      </c>
      <c r="G57" s="15">
        <v>0</v>
      </c>
      <c r="H57" s="15">
        <v>0</v>
      </c>
    </row>
    <row r="58" spans="2:20" x14ac:dyDescent="0.2">
      <c r="B58" s="1" t="s">
        <v>108</v>
      </c>
      <c r="E58" s="12">
        <v>0.1764</v>
      </c>
      <c r="F58" s="12">
        <v>1.03E-2</v>
      </c>
      <c r="G58" s="12">
        <v>0.19739999999999999</v>
      </c>
    </row>
    <row r="60" spans="2:20" x14ac:dyDescent="0.2">
      <c r="B60" s="5" t="s">
        <v>170</v>
      </c>
    </row>
    <row r="61" spans="2:20" x14ac:dyDescent="0.2">
      <c r="B61" s="7" t="s">
        <v>171</v>
      </c>
      <c r="D61" s="7">
        <v>6.4399999999999999E-2</v>
      </c>
      <c r="E61" s="7">
        <v>0.1038</v>
      </c>
      <c r="F61" s="7">
        <v>4.3400000000000001E-2</v>
      </c>
    </row>
    <row r="63" spans="2:20" x14ac:dyDescent="0.2">
      <c r="B63" s="13" t="s">
        <v>172</v>
      </c>
    </row>
    <row r="64" spans="2:20" x14ac:dyDescent="0.2">
      <c r="B64" s="12" t="s">
        <v>43</v>
      </c>
      <c r="D64" s="22">
        <v>0.17799999999999999</v>
      </c>
      <c r="F64" s="26" t="s">
        <v>173</v>
      </c>
    </row>
    <row r="65" spans="2:20" x14ac:dyDescent="0.2">
      <c r="B65" s="12" t="s">
        <v>11</v>
      </c>
      <c r="D65" s="21">
        <v>0.1719</v>
      </c>
    </row>
    <row r="66" spans="2:20" x14ac:dyDescent="0.2">
      <c r="B66" s="12" t="s">
        <v>22</v>
      </c>
      <c r="D66" s="21">
        <v>0.14530000000000001</v>
      </c>
    </row>
    <row r="67" spans="2:20" x14ac:dyDescent="0.2">
      <c r="B67" s="12" t="s">
        <v>8</v>
      </c>
      <c r="D67" s="21">
        <v>0.1779</v>
      </c>
    </row>
    <row r="68" spans="2:20" x14ac:dyDescent="0.2">
      <c r="B68" s="12" t="s">
        <v>10</v>
      </c>
      <c r="D68" s="21">
        <v>0.1565</v>
      </c>
    </row>
    <row r="69" spans="2:20" x14ac:dyDescent="0.2">
      <c r="B69" s="12" t="s">
        <v>9</v>
      </c>
      <c r="D69" s="21">
        <v>0.17050000000000001</v>
      </c>
    </row>
    <row r="71" spans="2:20" x14ac:dyDescent="0.2">
      <c r="B71" s="24" t="s">
        <v>137</v>
      </c>
    </row>
    <row r="72" spans="2:20" x14ac:dyDescent="0.2">
      <c r="B72" s="27" t="s">
        <v>177</v>
      </c>
    </row>
    <row r="75" spans="2:20" x14ac:dyDescent="0.2">
      <c r="B75" s="38" t="s">
        <v>181</v>
      </c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5"/>
    </row>
    <row r="76" spans="2:20" x14ac:dyDescent="0.2">
      <c r="B76" s="10" t="s">
        <v>182</v>
      </c>
    </row>
    <row r="78" spans="2:20" x14ac:dyDescent="0.2">
      <c r="B78" s="14" t="s">
        <v>180</v>
      </c>
      <c r="E78" s="15">
        <v>0</v>
      </c>
      <c r="F78" s="15">
        <v>0</v>
      </c>
      <c r="G78" s="15">
        <v>0</v>
      </c>
      <c r="H78" s="15">
        <v>0</v>
      </c>
    </row>
    <row r="79" spans="2:20" x14ac:dyDescent="0.2">
      <c r="B79" s="1" t="s">
        <v>108</v>
      </c>
      <c r="E79" s="12">
        <v>6.4399999999999999E-2</v>
      </c>
      <c r="F79" s="12">
        <v>0.1038</v>
      </c>
      <c r="G79" s="12">
        <v>4.3400000000000001E-2</v>
      </c>
    </row>
    <row r="81" spans="2:14" x14ac:dyDescent="0.2">
      <c r="B81" s="5" t="s">
        <v>170</v>
      </c>
    </row>
    <row r="82" spans="2:14" x14ac:dyDescent="0.2">
      <c r="B82" s="7" t="s">
        <v>171</v>
      </c>
      <c r="D82" s="7">
        <v>7.0900000000000005E-2</v>
      </c>
      <c r="E82" s="7">
        <v>0.1181</v>
      </c>
      <c r="F82" s="7">
        <v>-3.4500000000000003E-2</v>
      </c>
    </row>
    <row r="84" spans="2:14" x14ac:dyDescent="0.2">
      <c r="B84" s="13" t="s">
        <v>172</v>
      </c>
    </row>
    <row r="85" spans="2:14" x14ac:dyDescent="0.2">
      <c r="B85" s="12" t="s">
        <v>43</v>
      </c>
      <c r="D85" s="21">
        <v>0.1749</v>
      </c>
    </row>
    <row r="86" spans="2:14" x14ac:dyDescent="0.2">
      <c r="B86" s="12" t="s">
        <v>11</v>
      </c>
      <c r="D86" s="21">
        <v>0.17519999999999999</v>
      </c>
    </row>
    <row r="87" spans="2:14" x14ac:dyDescent="0.2">
      <c r="B87" s="12" t="s">
        <v>22</v>
      </c>
      <c r="D87" s="21">
        <v>0.14169999999999999</v>
      </c>
    </row>
    <row r="88" spans="2:14" x14ac:dyDescent="0.2">
      <c r="B88" s="12" t="s">
        <v>8</v>
      </c>
      <c r="D88" s="22">
        <v>0.17630000000000001</v>
      </c>
      <c r="F88" s="26" t="s">
        <v>173</v>
      </c>
    </row>
    <row r="89" spans="2:14" x14ac:dyDescent="0.2">
      <c r="B89" s="12" t="s">
        <v>10</v>
      </c>
      <c r="D89" s="21">
        <v>0.157</v>
      </c>
    </row>
    <row r="90" spans="2:14" x14ac:dyDescent="0.2">
      <c r="B90" s="12" t="s">
        <v>9</v>
      </c>
      <c r="D90" s="21">
        <v>0.1749</v>
      </c>
    </row>
    <row r="92" spans="2:14" x14ac:dyDescent="0.2">
      <c r="B92" s="24" t="s">
        <v>183</v>
      </c>
    </row>
    <row r="93" spans="2:14" x14ac:dyDescent="0.2">
      <c r="B93" s="27" t="s">
        <v>174</v>
      </c>
    </row>
    <row r="96" spans="2:14" x14ac:dyDescent="0.2">
      <c r="B96" s="41" t="s">
        <v>184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5"/>
    </row>
    <row r="98" spans="2:10" x14ac:dyDescent="0.2">
      <c r="B98" s="24" t="s">
        <v>185</v>
      </c>
      <c r="D98" s="22" t="s">
        <v>8</v>
      </c>
      <c r="F98" s="28" t="s">
        <v>43</v>
      </c>
      <c r="H98" s="28" t="s">
        <v>43</v>
      </c>
      <c r="J98" s="28" t="s">
        <v>8</v>
      </c>
    </row>
    <row r="99" spans="2:10" x14ac:dyDescent="0.2">
      <c r="B99" s="24" t="s">
        <v>186</v>
      </c>
      <c r="D99" s="10" t="s">
        <v>8</v>
      </c>
      <c r="F99" s="10" t="s">
        <v>10</v>
      </c>
      <c r="H99" s="10" t="s">
        <v>9</v>
      </c>
      <c r="J99" s="10" t="s">
        <v>22</v>
      </c>
    </row>
  </sheetData>
  <mergeCells count="7">
    <mergeCell ref="A1:J1"/>
    <mergeCell ref="B96:N96"/>
    <mergeCell ref="B2:AH2"/>
    <mergeCell ref="B75:T75"/>
    <mergeCell ref="B12:T12"/>
    <mergeCell ref="B54:T54"/>
    <mergeCell ref="B33:T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1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2" customWidth="1"/>
    <col min="2" max="2" width="16.1640625" customWidth="1"/>
    <col min="3" max="12" width="12" customWidth="1"/>
    <col min="13" max="19" width="8" customWidth="1"/>
  </cols>
  <sheetData>
    <row r="1" spans="1:22" x14ac:dyDescent="0.2">
      <c r="A1" s="36" t="s">
        <v>187</v>
      </c>
      <c r="B1" s="37"/>
      <c r="C1" s="37"/>
      <c r="D1" s="37"/>
      <c r="E1" s="37"/>
      <c r="F1" s="37"/>
      <c r="G1" s="37"/>
      <c r="H1" s="37"/>
      <c r="I1" s="37"/>
      <c r="J1" s="37"/>
    </row>
    <row r="2" spans="1:22" x14ac:dyDescent="0.2">
      <c r="B2" s="33" t="s">
        <v>188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</row>
    <row r="4" spans="1:22" x14ac:dyDescent="0.2">
      <c r="B4" s="1"/>
      <c r="G4" s="44" t="s">
        <v>189</v>
      </c>
      <c r="H4" s="34"/>
      <c r="I4" s="34"/>
      <c r="J4" s="35"/>
      <c r="L4" s="45" t="s">
        <v>190</v>
      </c>
      <c r="M4" s="34"/>
      <c r="N4" s="34"/>
      <c r="O4" s="35"/>
    </row>
    <row r="5" spans="1:22" x14ac:dyDescent="0.2">
      <c r="B5" s="1" t="s">
        <v>191</v>
      </c>
      <c r="G5" s="43" t="s">
        <v>192</v>
      </c>
      <c r="H5" s="34"/>
      <c r="I5" s="34"/>
      <c r="J5" s="35"/>
      <c r="L5" s="42" t="s">
        <v>193</v>
      </c>
      <c r="M5" s="34"/>
      <c r="N5" s="34"/>
      <c r="O5" s="35"/>
    </row>
    <row r="6" spans="1:22" x14ac:dyDescent="0.2">
      <c r="B6" s="1" t="s">
        <v>194</v>
      </c>
      <c r="G6" s="43" t="s">
        <v>195</v>
      </c>
      <c r="H6" s="34"/>
      <c r="I6" s="34"/>
      <c r="J6" s="35"/>
      <c r="L6" s="42" t="s">
        <v>196</v>
      </c>
      <c r="M6" s="34"/>
      <c r="N6" s="34"/>
      <c r="O6" s="35"/>
    </row>
    <row r="7" spans="1:22" x14ac:dyDescent="0.2">
      <c r="B7" s="1" t="s">
        <v>197</v>
      </c>
      <c r="G7" s="43" t="s">
        <v>198</v>
      </c>
      <c r="H7" s="34"/>
      <c r="I7" s="34"/>
      <c r="J7" s="35"/>
      <c r="L7" s="42" t="s">
        <v>199</v>
      </c>
      <c r="M7" s="34"/>
      <c r="N7" s="34"/>
      <c r="O7" s="35"/>
    </row>
    <row r="8" spans="1:22" x14ac:dyDescent="0.2">
      <c r="B8" s="1" t="s">
        <v>200</v>
      </c>
      <c r="G8" s="43" t="s">
        <v>201</v>
      </c>
      <c r="H8" s="34"/>
      <c r="I8" s="34"/>
      <c r="J8" s="35"/>
      <c r="L8" s="42" t="s">
        <v>202</v>
      </c>
      <c r="M8" s="34"/>
      <c r="N8" s="34"/>
      <c r="O8" s="35"/>
    </row>
    <row r="9" spans="1:22" x14ac:dyDescent="0.2">
      <c r="B9" s="1" t="s">
        <v>203</v>
      </c>
      <c r="G9" s="43" t="s">
        <v>204</v>
      </c>
      <c r="H9" s="34"/>
      <c r="I9" s="34"/>
      <c r="J9" s="35"/>
      <c r="L9" s="42" t="s">
        <v>205</v>
      </c>
      <c r="M9" s="34"/>
      <c r="N9" s="34"/>
      <c r="O9" s="35"/>
    </row>
    <row r="12" spans="1:22" x14ac:dyDescent="0.2">
      <c r="B12" s="33" t="s">
        <v>206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5"/>
    </row>
    <row r="14" spans="1:22" x14ac:dyDescent="0.2">
      <c r="B14" s="29" t="s">
        <v>30</v>
      </c>
    </row>
    <row r="15" spans="1:22" x14ac:dyDescent="0.2">
      <c r="B15" s="12" t="s">
        <v>207</v>
      </c>
      <c r="D15" s="22" t="s">
        <v>11</v>
      </c>
      <c r="E15" s="8" t="s">
        <v>14</v>
      </c>
      <c r="F15" s="22" t="s">
        <v>8</v>
      </c>
      <c r="G15" s="8" t="s">
        <v>14</v>
      </c>
      <c r="H15" s="22" t="s">
        <v>10</v>
      </c>
      <c r="I15" s="8" t="s">
        <v>14</v>
      </c>
      <c r="J15" s="22" t="s">
        <v>9</v>
      </c>
    </row>
    <row r="16" spans="1:22" x14ac:dyDescent="0.2">
      <c r="B16" s="12" t="s">
        <v>208</v>
      </c>
      <c r="D16" s="10" t="s">
        <v>8</v>
      </c>
      <c r="F16" s="10" t="s">
        <v>10</v>
      </c>
      <c r="H16" s="10" t="s">
        <v>9</v>
      </c>
      <c r="J16" s="10" t="s">
        <v>22</v>
      </c>
    </row>
    <row r="18" spans="2:10" x14ac:dyDescent="0.2">
      <c r="B18" s="27" t="s">
        <v>32</v>
      </c>
    </row>
    <row r="19" spans="2:10" x14ac:dyDescent="0.2">
      <c r="B19" s="12" t="s">
        <v>207</v>
      </c>
      <c r="D19" s="28" t="s">
        <v>11</v>
      </c>
      <c r="E19" s="8" t="s">
        <v>14</v>
      </c>
      <c r="F19" s="28" t="s">
        <v>209</v>
      </c>
      <c r="G19" s="8" t="s">
        <v>14</v>
      </c>
      <c r="H19" s="28" t="s">
        <v>210</v>
      </c>
      <c r="I19" s="8" t="s">
        <v>14</v>
      </c>
      <c r="J19" s="28" t="s">
        <v>211</v>
      </c>
    </row>
    <row r="20" spans="2:10" x14ac:dyDescent="0.2">
      <c r="B20" s="12" t="s">
        <v>208</v>
      </c>
      <c r="D20" s="10" t="s">
        <v>209</v>
      </c>
      <c r="F20" s="10" t="s">
        <v>210</v>
      </c>
      <c r="H20" s="10" t="s">
        <v>211</v>
      </c>
      <c r="J20" s="10" t="s">
        <v>212</v>
      </c>
    </row>
    <row r="21" spans="2:10" x14ac:dyDescent="0.2">
      <c r="C21" s="8" t="s">
        <v>213</v>
      </c>
      <c r="D21" s="8" t="s">
        <v>214</v>
      </c>
      <c r="F21" s="8" t="s">
        <v>214</v>
      </c>
      <c r="H21" s="8" t="s">
        <v>214</v>
      </c>
    </row>
  </sheetData>
  <mergeCells count="15">
    <mergeCell ref="L5:O5"/>
    <mergeCell ref="G6:J6"/>
    <mergeCell ref="B12:V12"/>
    <mergeCell ref="A1:J1"/>
    <mergeCell ref="L8:O8"/>
    <mergeCell ref="G9:J9"/>
    <mergeCell ref="B2:V2"/>
    <mergeCell ref="L9:O9"/>
    <mergeCell ref="G8:J8"/>
    <mergeCell ref="G4:J4"/>
    <mergeCell ref="L4:O4"/>
    <mergeCell ref="L6:O6"/>
    <mergeCell ref="G7:J7"/>
    <mergeCell ref="L7:O7"/>
    <mergeCell ref="G5:J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20"/>
  <sheetViews>
    <sheetView tabSelected="1" topLeftCell="A105" workbookViewId="0">
      <selection activeCell="K142" sqref="K142"/>
    </sheetView>
  </sheetViews>
  <sheetFormatPr baseColWidth="10" defaultColWidth="8.83203125" defaultRowHeight="15" x14ac:dyDescent="0.2"/>
  <cols>
    <col min="1" max="1" width="12" customWidth="1"/>
    <col min="2" max="2" width="36.83203125" customWidth="1"/>
    <col min="3" max="14" width="12" customWidth="1"/>
    <col min="15" max="19" width="8" customWidth="1"/>
  </cols>
  <sheetData>
    <row r="1" spans="1:34" x14ac:dyDescent="0.2">
      <c r="A1" s="36" t="s">
        <v>215</v>
      </c>
      <c r="B1" s="37"/>
      <c r="C1" s="37"/>
      <c r="D1" s="37"/>
      <c r="E1" s="37"/>
      <c r="F1" s="37"/>
      <c r="G1" s="37"/>
      <c r="H1" s="37"/>
      <c r="I1" s="37"/>
      <c r="J1" s="37"/>
    </row>
    <row r="2" spans="1:34" x14ac:dyDescent="0.2">
      <c r="B2" s="46" t="s">
        <v>216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5"/>
    </row>
    <row r="4" spans="1:34" x14ac:dyDescent="0.2">
      <c r="B4" s="30" t="s">
        <v>217</v>
      </c>
    </row>
    <row r="6" spans="1:34" x14ac:dyDescent="0.2">
      <c r="B6" s="41" t="s">
        <v>218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5"/>
    </row>
    <row r="8" spans="1:34" x14ac:dyDescent="0.2">
      <c r="B8" s="31" t="s">
        <v>219</v>
      </c>
    </row>
    <row r="9" spans="1:34" x14ac:dyDescent="0.2">
      <c r="B9" s="32" t="s">
        <v>220</v>
      </c>
    </row>
    <row r="11" spans="1:34" x14ac:dyDescent="0.2">
      <c r="B11" s="27" t="s">
        <v>221</v>
      </c>
    </row>
    <row r="12" spans="1:34" x14ac:dyDescent="0.2">
      <c r="B12" s="12" t="s">
        <v>43</v>
      </c>
      <c r="D12" s="28">
        <v>0.19769999999999999</v>
      </c>
    </row>
    <row r="13" spans="1:34" x14ac:dyDescent="0.2">
      <c r="B13" s="12" t="s">
        <v>11</v>
      </c>
      <c r="D13" s="28">
        <v>0.1673</v>
      </c>
    </row>
    <row r="14" spans="1:34" x14ac:dyDescent="0.2">
      <c r="B14" s="12" t="s">
        <v>22</v>
      </c>
      <c r="D14" s="28">
        <v>-0.87009999999999998</v>
      </c>
      <c r="F14" s="23" t="s">
        <v>123</v>
      </c>
    </row>
    <row r="15" spans="1:34" x14ac:dyDescent="0.2">
      <c r="B15" s="12" t="s">
        <v>8</v>
      </c>
      <c r="D15" s="28">
        <v>0.19070000000000001</v>
      </c>
    </row>
    <row r="16" spans="1:34" x14ac:dyDescent="0.2">
      <c r="B16" s="12" t="s">
        <v>10</v>
      </c>
      <c r="D16" s="28">
        <v>0.13980000000000001</v>
      </c>
    </row>
    <row r="17" spans="2:31" x14ac:dyDescent="0.2">
      <c r="B17" s="12" t="s">
        <v>9</v>
      </c>
      <c r="D17" s="28">
        <v>0.17469999999999999</v>
      </c>
    </row>
    <row r="20" spans="2:31" x14ac:dyDescent="0.2">
      <c r="B20" s="13" t="s">
        <v>222</v>
      </c>
    </row>
    <row r="21" spans="2:31" x14ac:dyDescent="0.2">
      <c r="B21" s="12"/>
      <c r="D21" s="13" t="s">
        <v>223</v>
      </c>
      <c r="H21" s="27" t="s">
        <v>224</v>
      </c>
      <c r="L21" s="29" t="s">
        <v>225</v>
      </c>
    </row>
    <row r="22" spans="2:31" x14ac:dyDescent="0.2">
      <c r="B22" s="12" t="s">
        <v>43</v>
      </c>
      <c r="D22" s="10">
        <v>0.4</v>
      </c>
      <c r="E22" s="10">
        <v>-0.2</v>
      </c>
      <c r="F22" s="10">
        <v>0.3</v>
      </c>
      <c r="H22" s="28">
        <v>6.4600000000000005E-2</v>
      </c>
      <c r="I22" s="28">
        <v>-1.34E-2</v>
      </c>
      <c r="J22" s="28">
        <v>-7.4000000000000003E-3</v>
      </c>
      <c r="L22" s="22">
        <v>0.39400000000000002</v>
      </c>
      <c r="M22" s="22">
        <v>-0.19900000000000001</v>
      </c>
      <c r="N22" s="22">
        <v>0.30099999999999999</v>
      </c>
    </row>
    <row r="23" spans="2:31" x14ac:dyDescent="0.2">
      <c r="B23" s="12" t="s">
        <v>11</v>
      </c>
      <c r="D23" s="10">
        <v>0.1</v>
      </c>
      <c r="E23" s="10">
        <v>0.3</v>
      </c>
      <c r="F23" s="10">
        <v>-0.1</v>
      </c>
      <c r="H23" s="28">
        <v>5.4699999999999999E-2</v>
      </c>
      <c r="I23" s="28">
        <v>-1.1299999999999999E-2</v>
      </c>
      <c r="J23" s="28">
        <v>-6.3E-3</v>
      </c>
      <c r="L23" s="22">
        <v>9.5000000000000001E-2</v>
      </c>
      <c r="M23" s="22">
        <v>0.30099999999999999</v>
      </c>
      <c r="N23" s="22">
        <v>-9.9000000000000005E-2</v>
      </c>
    </row>
    <row r="24" spans="2:31" x14ac:dyDescent="0.2">
      <c r="B24" s="12" t="s">
        <v>22</v>
      </c>
      <c r="D24" s="10">
        <v>-0.2</v>
      </c>
      <c r="E24" s="10">
        <v>0.1</v>
      </c>
      <c r="F24" s="10">
        <v>0.4</v>
      </c>
      <c r="H24" s="28">
        <v>-0.28439999999999999</v>
      </c>
      <c r="I24" s="28">
        <v>5.8900000000000001E-2</v>
      </c>
      <c r="J24" s="28">
        <v>3.2800000000000003E-2</v>
      </c>
      <c r="L24" s="22">
        <v>-0.17199999999999999</v>
      </c>
      <c r="M24" s="22">
        <v>9.4E-2</v>
      </c>
      <c r="N24" s="22">
        <v>0.39700000000000002</v>
      </c>
    </row>
    <row r="26" spans="2:31" x14ac:dyDescent="0.2">
      <c r="B26" s="13" t="s">
        <v>226</v>
      </c>
    </row>
    <row r="27" spans="2:31" x14ac:dyDescent="0.2">
      <c r="B27" s="10" t="s">
        <v>227</v>
      </c>
      <c r="D27" s="10">
        <v>0.1</v>
      </c>
      <c r="E27" s="10">
        <v>0.05</v>
      </c>
      <c r="F27" s="10">
        <v>-0.1</v>
      </c>
      <c r="G27" s="10">
        <v>0.1</v>
      </c>
      <c r="H27" s="10">
        <v>-0.05</v>
      </c>
      <c r="I27" s="10">
        <v>0.05</v>
      </c>
    </row>
    <row r="28" spans="2:31" x14ac:dyDescent="0.2">
      <c r="B28" s="28" t="s">
        <v>228</v>
      </c>
      <c r="D28" s="28">
        <v>0.19769999999999999</v>
      </c>
      <c r="E28" s="28">
        <v>0.1673</v>
      </c>
      <c r="F28" s="28">
        <v>-0.87009999999999998</v>
      </c>
      <c r="G28" s="28">
        <v>0.19070000000000001</v>
      </c>
      <c r="H28" s="28">
        <v>0.13980000000000001</v>
      </c>
      <c r="I28" s="28">
        <v>0.17469999999999999</v>
      </c>
    </row>
    <row r="29" spans="2:31" x14ac:dyDescent="0.2">
      <c r="B29" s="22" t="s">
        <v>229</v>
      </c>
      <c r="D29" s="22">
        <v>0.08</v>
      </c>
      <c r="E29" s="22">
        <v>3.3000000000000002E-2</v>
      </c>
      <c r="F29" s="22">
        <v>-1.2999999999999999E-2</v>
      </c>
      <c r="G29" s="22">
        <v>8.1000000000000003E-2</v>
      </c>
      <c r="H29" s="22">
        <v>-6.4000000000000001E-2</v>
      </c>
      <c r="I29" s="22">
        <v>3.3000000000000002E-2</v>
      </c>
    </row>
    <row r="32" spans="2:31" x14ac:dyDescent="0.2">
      <c r="B32" s="38" t="s">
        <v>230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5"/>
    </row>
    <row r="34" spans="2:31" x14ac:dyDescent="0.2">
      <c r="B34" s="5" t="s">
        <v>231</v>
      </c>
    </row>
    <row r="35" spans="2:31" x14ac:dyDescent="0.2">
      <c r="B35" s="7" t="s">
        <v>232</v>
      </c>
      <c r="D35" s="7">
        <f>0.348</f>
        <v>0.34799999999999998</v>
      </c>
    </row>
    <row r="36" spans="2:31" x14ac:dyDescent="0.2">
      <c r="B36" s="7" t="s">
        <v>233</v>
      </c>
      <c r="D36" s="7">
        <f>-0.0046</f>
        <v>-4.5999999999999999E-3</v>
      </c>
    </row>
    <row r="37" spans="2:31" x14ac:dyDescent="0.2">
      <c r="B37" s="7" t="s">
        <v>234</v>
      </c>
      <c r="D37" s="7">
        <f>-0.2883</f>
        <v>-0.2883</v>
      </c>
    </row>
    <row r="40" spans="2:31" x14ac:dyDescent="0.2">
      <c r="B40" s="16" t="s">
        <v>235</v>
      </c>
    </row>
    <row r="41" spans="2:31" x14ac:dyDescent="0.2">
      <c r="B41" s="17" t="s">
        <v>236</v>
      </c>
      <c r="D41" t="s">
        <v>237</v>
      </c>
      <c r="N41" s="17">
        <f>0.3108</f>
        <v>0.31080000000000002</v>
      </c>
    </row>
    <row r="42" spans="2:31" x14ac:dyDescent="0.2">
      <c r="B42" s="17" t="s">
        <v>238</v>
      </c>
      <c r="D42" t="s">
        <v>239</v>
      </c>
      <c r="N42" s="17">
        <f>-0.0046</f>
        <v>-4.5999999999999999E-3</v>
      </c>
    </row>
    <row r="43" spans="2:31" x14ac:dyDescent="0.2">
      <c r="B43" s="17" t="s">
        <v>240</v>
      </c>
      <c r="D43" t="s">
        <v>241</v>
      </c>
      <c r="N43" s="17">
        <f>-0.2879</f>
        <v>-0.28789999999999999</v>
      </c>
    </row>
    <row r="46" spans="2:31" x14ac:dyDescent="0.2">
      <c r="B46" s="38" t="s">
        <v>242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5"/>
    </row>
    <row r="48" spans="2:31" x14ac:dyDescent="0.2">
      <c r="B48" s="5" t="s">
        <v>243</v>
      </c>
    </row>
    <row r="49" spans="2:14" x14ac:dyDescent="0.2">
      <c r="B49" s="12"/>
      <c r="D49" s="5" t="s">
        <v>223</v>
      </c>
      <c r="H49" s="27" t="s">
        <v>224</v>
      </c>
      <c r="L49" s="29" t="s">
        <v>225</v>
      </c>
    </row>
    <row r="50" spans="2:14" x14ac:dyDescent="0.2">
      <c r="B50" s="7" t="s">
        <v>244</v>
      </c>
      <c r="D50" s="7">
        <v>0.3</v>
      </c>
      <c r="E50" s="7">
        <v>-0.2</v>
      </c>
      <c r="F50" s="7">
        <v>0.1</v>
      </c>
      <c r="H50" s="28">
        <v>9.3200000000000005E-2</v>
      </c>
      <c r="I50" s="28">
        <v>-1.4E-3</v>
      </c>
      <c r="J50" s="28">
        <v>-8.6400000000000005E-2</v>
      </c>
      <c r="L50" s="22">
        <v>0.29099999999999998</v>
      </c>
      <c r="M50" s="22">
        <v>-0.2</v>
      </c>
      <c r="N50" s="22">
        <v>0.109</v>
      </c>
    </row>
    <row r="51" spans="2:14" x14ac:dyDescent="0.2">
      <c r="B51" s="7" t="s">
        <v>245</v>
      </c>
      <c r="D51" s="7">
        <v>-0.1</v>
      </c>
      <c r="E51" s="7">
        <v>0.4</v>
      </c>
      <c r="F51" s="7">
        <v>0.2</v>
      </c>
      <c r="H51" s="28">
        <v>-9.3200000000000005E-2</v>
      </c>
      <c r="I51" s="28">
        <v>1.4E-3</v>
      </c>
      <c r="J51" s="28">
        <v>8.6400000000000005E-2</v>
      </c>
      <c r="L51" s="22">
        <v>-9.0999999999999998E-2</v>
      </c>
      <c r="M51" s="22">
        <v>0.4</v>
      </c>
      <c r="N51" s="22">
        <v>0.191</v>
      </c>
    </row>
    <row r="52" spans="2:14" x14ac:dyDescent="0.2">
      <c r="B52" s="7" t="s">
        <v>246</v>
      </c>
      <c r="D52" s="7">
        <v>0.2</v>
      </c>
      <c r="E52" s="7">
        <v>0.1</v>
      </c>
      <c r="F52" s="7">
        <v>-0.3</v>
      </c>
      <c r="H52" s="28">
        <v>0.12429999999999999</v>
      </c>
      <c r="I52" s="28">
        <v>-1.8E-3</v>
      </c>
      <c r="J52" s="28">
        <v>-0.1152</v>
      </c>
      <c r="L52" s="22">
        <v>0.188</v>
      </c>
      <c r="M52" s="22">
        <v>0.1</v>
      </c>
      <c r="N52" s="22">
        <v>-0.28799999999999998</v>
      </c>
    </row>
    <row r="53" spans="2:14" x14ac:dyDescent="0.2">
      <c r="B53" s="7" t="s">
        <v>247</v>
      </c>
      <c r="D53" s="7">
        <v>0.1</v>
      </c>
      <c r="E53" s="7">
        <v>-0.2</v>
      </c>
      <c r="F53" s="7">
        <v>0.4</v>
      </c>
      <c r="H53" s="28">
        <v>0.15540000000000001</v>
      </c>
      <c r="I53" s="28">
        <v>-2.3E-3</v>
      </c>
      <c r="J53" s="28">
        <v>-0.1439</v>
      </c>
      <c r="L53" s="22">
        <v>8.4000000000000005E-2</v>
      </c>
      <c r="M53" s="22">
        <v>-0.2</v>
      </c>
      <c r="N53" s="22">
        <v>0.41399999999999998</v>
      </c>
    </row>
    <row r="56" spans="2:14" x14ac:dyDescent="0.2">
      <c r="B56" s="5" t="s">
        <v>248</v>
      </c>
    </row>
    <row r="57" spans="2:14" x14ac:dyDescent="0.2">
      <c r="B57" s="12"/>
      <c r="D57" s="5" t="s">
        <v>223</v>
      </c>
      <c r="H57" s="27" t="s">
        <v>224</v>
      </c>
      <c r="L57" s="29" t="s">
        <v>225</v>
      </c>
    </row>
    <row r="58" spans="2:14" x14ac:dyDescent="0.2">
      <c r="B58" s="7" t="s">
        <v>249</v>
      </c>
      <c r="D58" s="7">
        <v>0.3</v>
      </c>
      <c r="E58" s="7">
        <v>-0.1</v>
      </c>
      <c r="F58" s="7">
        <v>0.2</v>
      </c>
      <c r="H58" s="28">
        <v>1.4E-3</v>
      </c>
      <c r="I58" s="28">
        <v>0</v>
      </c>
      <c r="J58" s="28">
        <v>-1.2999999999999999E-3</v>
      </c>
      <c r="L58" s="22">
        <v>0.3</v>
      </c>
      <c r="M58" s="22">
        <v>-0.1</v>
      </c>
      <c r="N58" s="22">
        <v>0.2</v>
      </c>
    </row>
    <row r="59" spans="2:14" x14ac:dyDescent="0.2">
      <c r="B59" s="7" t="s">
        <v>250</v>
      </c>
      <c r="D59" s="7">
        <v>0.1</v>
      </c>
      <c r="E59" s="7">
        <v>0.2</v>
      </c>
      <c r="F59" s="7">
        <v>-0.1</v>
      </c>
      <c r="H59" s="28">
        <v>0.1139</v>
      </c>
      <c r="I59" s="28">
        <v>-1.6999999999999999E-3</v>
      </c>
      <c r="J59" s="28">
        <v>-0.1055</v>
      </c>
      <c r="L59" s="22">
        <v>8.8999999999999996E-2</v>
      </c>
      <c r="M59" s="22">
        <v>0.2</v>
      </c>
      <c r="N59" s="22">
        <v>-8.8999999999999996E-2</v>
      </c>
    </row>
    <row r="60" spans="2:14" x14ac:dyDescent="0.2">
      <c r="B60" s="7" t="s">
        <v>251</v>
      </c>
      <c r="D60" s="7">
        <v>-0.2</v>
      </c>
      <c r="E60" s="7">
        <v>0.1</v>
      </c>
      <c r="F60" s="7">
        <v>0.3</v>
      </c>
      <c r="H60" s="28">
        <v>-2E-3</v>
      </c>
      <c r="I60" s="28">
        <v>0</v>
      </c>
      <c r="J60" s="28">
        <v>1.9E-3</v>
      </c>
      <c r="L60" s="22">
        <v>-0.2</v>
      </c>
      <c r="M60" s="22">
        <v>0.1</v>
      </c>
      <c r="N60" s="22">
        <v>0.3</v>
      </c>
    </row>
    <row r="63" spans="2:14" x14ac:dyDescent="0.2">
      <c r="B63" s="5" t="s">
        <v>252</v>
      </c>
    </row>
    <row r="64" spans="2:14" x14ac:dyDescent="0.2">
      <c r="B64" s="7" t="s">
        <v>227</v>
      </c>
      <c r="D64" s="7">
        <v>0.05</v>
      </c>
      <c r="E64" s="7">
        <v>0.1</v>
      </c>
      <c r="F64" s="7">
        <v>-0.05</v>
      </c>
    </row>
    <row r="65" spans="2:31" x14ac:dyDescent="0.2">
      <c r="B65" s="28" t="s">
        <v>228</v>
      </c>
      <c r="D65" s="28">
        <v>0.31080000000000002</v>
      </c>
      <c r="E65" s="28">
        <v>-4.5999999999999999E-3</v>
      </c>
      <c r="F65" s="28">
        <v>-0.28789999999999999</v>
      </c>
    </row>
    <row r="66" spans="2:31" x14ac:dyDescent="0.2">
      <c r="B66" s="22" t="s">
        <v>229</v>
      </c>
      <c r="D66" s="22">
        <v>1.9E-2</v>
      </c>
      <c r="E66" s="22">
        <v>0.1</v>
      </c>
      <c r="F66" s="22">
        <v>-2.1000000000000001E-2</v>
      </c>
    </row>
    <row r="69" spans="2:31" x14ac:dyDescent="0.2">
      <c r="B69" s="40" t="s">
        <v>253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5"/>
    </row>
    <row r="71" spans="2:31" x14ac:dyDescent="0.2">
      <c r="B71" s="9" t="s">
        <v>254</v>
      </c>
    </row>
    <row r="72" spans="2:31" x14ac:dyDescent="0.2">
      <c r="B72" s="18" t="s">
        <v>255</v>
      </c>
      <c r="E72" s="18">
        <f>0.0361</f>
        <v>3.61E-2</v>
      </c>
    </row>
    <row r="73" spans="2:31" x14ac:dyDescent="0.2">
      <c r="B73" s="18" t="s">
        <v>256</v>
      </c>
      <c r="E73" s="18">
        <f>0.059</f>
        <v>5.8999999999999997E-2</v>
      </c>
    </row>
    <row r="74" spans="2:31" x14ac:dyDescent="0.2">
      <c r="B74" s="18" t="s">
        <v>257</v>
      </c>
      <c r="E74" s="18">
        <f>-0.149</f>
        <v>-0.14899999999999999</v>
      </c>
    </row>
    <row r="77" spans="2:31" x14ac:dyDescent="0.2">
      <c r="B77" t="s">
        <v>258</v>
      </c>
    </row>
    <row r="80" spans="2:31" x14ac:dyDescent="0.2">
      <c r="B80" s="39" t="s">
        <v>259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5"/>
    </row>
    <row r="82" spans="2:14" x14ac:dyDescent="0.2">
      <c r="B82" s="9" t="s">
        <v>260</v>
      </c>
    </row>
    <row r="83" spans="2:14" x14ac:dyDescent="0.2">
      <c r="B83" s="18" t="s">
        <v>67</v>
      </c>
      <c r="D83" s="18">
        <f>0.0361</f>
        <v>3.61E-2</v>
      </c>
    </row>
    <row r="84" spans="2:14" x14ac:dyDescent="0.2">
      <c r="B84" s="18" t="s">
        <v>69</v>
      </c>
      <c r="D84" s="18">
        <f>0.059</f>
        <v>5.8999999999999997E-2</v>
      </c>
    </row>
    <row r="85" spans="2:14" x14ac:dyDescent="0.2">
      <c r="B85" s="18" t="s">
        <v>71</v>
      </c>
      <c r="D85" s="18">
        <f>-0.149</f>
        <v>-0.14899999999999999</v>
      </c>
    </row>
    <row r="88" spans="2:14" x14ac:dyDescent="0.2">
      <c r="B88" s="4" t="s">
        <v>261</v>
      </c>
    </row>
    <row r="89" spans="2:14" x14ac:dyDescent="0.2">
      <c r="B89" s="12"/>
      <c r="D89" s="4" t="s">
        <v>223</v>
      </c>
      <c r="H89" s="27" t="s">
        <v>224</v>
      </c>
      <c r="L89" s="29" t="s">
        <v>225</v>
      </c>
    </row>
    <row r="90" spans="2:14" x14ac:dyDescent="0.2">
      <c r="B90" s="6" t="s">
        <v>244</v>
      </c>
      <c r="D90" s="6">
        <v>0.2</v>
      </c>
      <c r="E90" s="6">
        <v>-0.1</v>
      </c>
      <c r="F90" s="6">
        <v>0.3</v>
      </c>
      <c r="H90" s="28">
        <v>-7.1999999999999998E-3</v>
      </c>
      <c r="I90" s="28">
        <v>-1.14E-2</v>
      </c>
      <c r="J90" s="28">
        <v>2.98E-2</v>
      </c>
      <c r="L90" s="22">
        <v>0.20100000000000001</v>
      </c>
      <c r="M90" s="22">
        <v>-9.9000000000000005E-2</v>
      </c>
      <c r="N90" s="22">
        <v>0.29699999999999999</v>
      </c>
    </row>
    <row r="91" spans="2:14" x14ac:dyDescent="0.2">
      <c r="B91" s="6" t="s">
        <v>245</v>
      </c>
      <c r="D91" s="6">
        <v>0.1</v>
      </c>
      <c r="E91" s="6">
        <v>0.3</v>
      </c>
      <c r="F91" s="6">
        <v>-0.2</v>
      </c>
      <c r="H91" s="28">
        <v>1.44E-2</v>
      </c>
      <c r="I91" s="28">
        <v>2.2800000000000001E-2</v>
      </c>
      <c r="J91" s="28">
        <v>-5.96E-2</v>
      </c>
      <c r="L91" s="22">
        <v>9.9000000000000005E-2</v>
      </c>
      <c r="M91" s="22">
        <v>0.29799999999999999</v>
      </c>
      <c r="N91" s="22">
        <v>-0.19400000000000001</v>
      </c>
    </row>
    <row r="92" spans="2:14" x14ac:dyDescent="0.2">
      <c r="B92" s="6" t="s">
        <v>246</v>
      </c>
      <c r="D92" s="6">
        <v>-0.2</v>
      </c>
      <c r="E92" s="6">
        <v>0.2</v>
      </c>
      <c r="F92" s="6">
        <v>0.1</v>
      </c>
      <c r="H92" s="28">
        <v>1.0800000000000001E-2</v>
      </c>
      <c r="I92" s="28">
        <v>1.7100000000000001E-2</v>
      </c>
      <c r="J92" s="28">
        <v>-4.4699999999999997E-2</v>
      </c>
      <c r="L92" s="22">
        <v>-0.20100000000000001</v>
      </c>
      <c r="M92" s="22">
        <v>0.19800000000000001</v>
      </c>
      <c r="N92" s="22">
        <v>0.104</v>
      </c>
    </row>
    <row r="93" spans="2:14" x14ac:dyDescent="0.2">
      <c r="B93" s="6" t="s">
        <v>247</v>
      </c>
      <c r="D93" s="6">
        <v>0.3</v>
      </c>
      <c r="E93" s="6">
        <v>-0.1</v>
      </c>
      <c r="F93" s="6">
        <v>0.2</v>
      </c>
      <c r="H93" s="28">
        <v>-1.0800000000000001E-2</v>
      </c>
      <c r="I93" s="28">
        <v>-1.7100000000000001E-2</v>
      </c>
      <c r="J93" s="28">
        <v>4.4699999999999997E-2</v>
      </c>
      <c r="L93" s="22">
        <v>0.30099999999999999</v>
      </c>
      <c r="M93" s="22">
        <v>-9.8000000000000004E-2</v>
      </c>
      <c r="N93" s="22">
        <v>0.19600000000000001</v>
      </c>
    </row>
    <row r="96" spans="2:14" x14ac:dyDescent="0.2">
      <c r="B96" s="4" t="s">
        <v>262</v>
      </c>
    </row>
    <row r="97" spans="2:31" x14ac:dyDescent="0.2">
      <c r="B97" s="12"/>
      <c r="D97" s="4" t="s">
        <v>223</v>
      </c>
      <c r="H97" s="27" t="s">
        <v>224</v>
      </c>
      <c r="L97" s="29" t="s">
        <v>225</v>
      </c>
    </row>
    <row r="98" spans="2:31" x14ac:dyDescent="0.2">
      <c r="B98" s="6" t="s">
        <v>249</v>
      </c>
      <c r="D98" s="6">
        <v>0.2</v>
      </c>
      <c r="E98" s="6">
        <v>-0.1</v>
      </c>
      <c r="F98" s="6">
        <v>0.1</v>
      </c>
      <c r="H98" s="28">
        <v>1.24E-2</v>
      </c>
      <c r="I98" s="28">
        <v>1.95E-2</v>
      </c>
      <c r="J98" s="28">
        <v>-5.11E-2</v>
      </c>
      <c r="L98" s="22">
        <v>0.19900000000000001</v>
      </c>
      <c r="M98" s="22">
        <v>-0.10199999999999999</v>
      </c>
      <c r="N98" s="22">
        <v>0.105</v>
      </c>
    </row>
    <row r="99" spans="2:31" x14ac:dyDescent="0.2">
      <c r="B99" s="6" t="s">
        <v>250</v>
      </c>
      <c r="D99" s="6">
        <v>0.1</v>
      </c>
      <c r="E99" s="6">
        <v>0.3</v>
      </c>
      <c r="F99" s="6">
        <v>-0.2</v>
      </c>
      <c r="H99" s="28">
        <v>-1.9E-3</v>
      </c>
      <c r="I99" s="28">
        <v>-3.0000000000000001E-3</v>
      </c>
      <c r="J99" s="28">
        <v>7.9000000000000008E-3</v>
      </c>
      <c r="L99" s="22">
        <v>0.1</v>
      </c>
      <c r="M99" s="22">
        <v>0.3</v>
      </c>
      <c r="N99" s="22">
        <v>-0.20100000000000001</v>
      </c>
    </row>
    <row r="100" spans="2:31" x14ac:dyDescent="0.2">
      <c r="B100" s="6" t="s">
        <v>251</v>
      </c>
      <c r="D100" s="6">
        <v>-0.1</v>
      </c>
      <c r="E100" s="6">
        <v>0.2</v>
      </c>
      <c r="F100" s="6">
        <v>0.2</v>
      </c>
      <c r="H100" s="28">
        <v>9.9000000000000008E-3</v>
      </c>
      <c r="I100" s="28">
        <v>1.5599999999999999E-2</v>
      </c>
      <c r="J100" s="28">
        <v>-4.07E-2</v>
      </c>
      <c r="L100" s="22">
        <v>-0.10100000000000001</v>
      </c>
      <c r="M100" s="22">
        <v>0.19800000000000001</v>
      </c>
      <c r="N100" s="22">
        <v>0.20399999999999999</v>
      </c>
    </row>
    <row r="103" spans="2:31" x14ac:dyDescent="0.2">
      <c r="B103" s="4" t="s">
        <v>263</v>
      </c>
    </row>
    <row r="104" spans="2:31" x14ac:dyDescent="0.2">
      <c r="B104" s="6" t="s">
        <v>227</v>
      </c>
      <c r="D104" s="6">
        <v>0.1</v>
      </c>
      <c r="E104" s="6">
        <v>-0.05</v>
      </c>
      <c r="F104" s="6">
        <v>0.05</v>
      </c>
    </row>
    <row r="105" spans="2:31" x14ac:dyDescent="0.2">
      <c r="B105" s="28" t="s">
        <v>228</v>
      </c>
      <c r="D105" s="28">
        <v>3.61E-2</v>
      </c>
      <c r="E105" s="28">
        <v>5.7000000000000002E-2</v>
      </c>
      <c r="F105" s="28">
        <v>-0.1489</v>
      </c>
    </row>
    <row r="106" spans="2:31" x14ac:dyDescent="0.2">
      <c r="B106" s="22" t="s">
        <v>229</v>
      </c>
      <c r="D106" s="22">
        <v>9.6000000000000002E-2</v>
      </c>
      <c r="E106" s="22">
        <v>-5.6000000000000001E-2</v>
      </c>
      <c r="F106" s="22">
        <v>6.5000000000000002E-2</v>
      </c>
    </row>
    <row r="109" spans="2:31" x14ac:dyDescent="0.2">
      <c r="B109" s="33" t="s">
        <v>264</v>
      </c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5"/>
    </row>
    <row r="111" spans="2:31" x14ac:dyDescent="0.2">
      <c r="B111" t="s">
        <v>265</v>
      </c>
    </row>
    <row r="112" spans="2:31" x14ac:dyDescent="0.2">
      <c r="B112" t="s">
        <v>266</v>
      </c>
    </row>
    <row r="113" spans="2:2" x14ac:dyDescent="0.2">
      <c r="B113" t="s">
        <v>267</v>
      </c>
    </row>
    <row r="114" spans="2:2" x14ac:dyDescent="0.2">
      <c r="B114" t="s">
        <v>268</v>
      </c>
    </row>
    <row r="115" spans="2:2" x14ac:dyDescent="0.2">
      <c r="B115" t="s">
        <v>269</v>
      </c>
    </row>
    <row r="116" spans="2:2" x14ac:dyDescent="0.2">
      <c r="B116" t="s">
        <v>270</v>
      </c>
    </row>
    <row r="117" spans="2:2" x14ac:dyDescent="0.2">
      <c r="B117" t="s">
        <v>271</v>
      </c>
    </row>
    <row r="119" spans="2:2" x14ac:dyDescent="0.2">
      <c r="B119" t="s">
        <v>272</v>
      </c>
    </row>
    <row r="120" spans="2:2" x14ac:dyDescent="0.2">
      <c r="B120" t="s">
        <v>273</v>
      </c>
    </row>
  </sheetData>
  <mergeCells count="8">
    <mergeCell ref="A1:J1"/>
    <mergeCell ref="B69:AE69"/>
    <mergeCell ref="B6:AE6"/>
    <mergeCell ref="B2:AH2"/>
    <mergeCell ref="B109:AE109"/>
    <mergeCell ref="B80:AE80"/>
    <mergeCell ref="B46:AE46"/>
    <mergeCell ref="B32:AE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5"/>
  <sheetViews>
    <sheetView workbookViewId="0"/>
  </sheetViews>
  <sheetFormatPr baseColWidth="10" defaultColWidth="8.83203125" defaultRowHeight="15" x14ac:dyDescent="0.2"/>
  <cols>
    <col min="1" max="5" width="12" customWidth="1"/>
    <col min="6" max="19" width="10" customWidth="1"/>
  </cols>
  <sheetData>
    <row r="1" spans="1:20" x14ac:dyDescent="0.2">
      <c r="A1" s="36" t="s">
        <v>274</v>
      </c>
      <c r="B1" s="37"/>
      <c r="C1" s="37"/>
      <c r="D1" s="37"/>
      <c r="E1" s="37"/>
      <c r="F1" s="37"/>
      <c r="G1" s="37"/>
      <c r="H1" s="37"/>
      <c r="I1" s="37"/>
      <c r="J1" s="37"/>
    </row>
    <row r="2" spans="1:20" x14ac:dyDescent="0.2">
      <c r="B2" s="33" t="s">
        <v>275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5"/>
    </row>
    <row r="4" spans="1:20" x14ac:dyDescent="0.2">
      <c r="B4" s="4" t="s">
        <v>276</v>
      </c>
    </row>
    <row r="5" spans="1:20" x14ac:dyDescent="0.2">
      <c r="B5" s="6" t="s">
        <v>277</v>
      </c>
      <c r="E5" t="s">
        <v>278</v>
      </c>
    </row>
    <row r="6" spans="1:20" x14ac:dyDescent="0.2">
      <c r="B6" s="6" t="s">
        <v>279</v>
      </c>
      <c r="E6" t="s">
        <v>280</v>
      </c>
    </row>
    <row r="7" spans="1:20" x14ac:dyDescent="0.2">
      <c r="B7" s="6" t="s">
        <v>281</v>
      </c>
      <c r="E7" t="s">
        <v>282</v>
      </c>
    </row>
    <row r="9" spans="1:20" x14ac:dyDescent="0.2">
      <c r="B9" s="9" t="s">
        <v>26</v>
      </c>
      <c r="E9" t="s">
        <v>282</v>
      </c>
    </row>
    <row r="11" spans="1:20" x14ac:dyDescent="0.2">
      <c r="B11" s="5" t="s">
        <v>283</v>
      </c>
    </row>
    <row r="12" spans="1:20" x14ac:dyDescent="0.2">
      <c r="B12" s="7" t="s">
        <v>284</v>
      </c>
      <c r="C12" t="s">
        <v>285</v>
      </c>
    </row>
    <row r="13" spans="1:20" x14ac:dyDescent="0.2">
      <c r="C13" t="s">
        <v>286</v>
      </c>
    </row>
    <row r="14" spans="1:20" x14ac:dyDescent="0.2">
      <c r="B14" s="7" t="s">
        <v>287</v>
      </c>
      <c r="C14" t="s">
        <v>288</v>
      </c>
    </row>
    <row r="15" spans="1:20" x14ac:dyDescent="0.2">
      <c r="C15" t="s">
        <v>289</v>
      </c>
    </row>
    <row r="16" spans="1:20" x14ac:dyDescent="0.2">
      <c r="B16" s="7" t="s">
        <v>290</v>
      </c>
      <c r="C16" t="s">
        <v>291</v>
      </c>
    </row>
    <row r="17" spans="2:4" x14ac:dyDescent="0.2">
      <c r="C17" t="s">
        <v>292</v>
      </c>
    </row>
    <row r="18" spans="2:4" x14ac:dyDescent="0.2">
      <c r="B18" s="7" t="s">
        <v>293</v>
      </c>
      <c r="C18" t="s">
        <v>294</v>
      </c>
    </row>
    <row r="19" spans="2:4" x14ac:dyDescent="0.2">
      <c r="C19" t="s">
        <v>295</v>
      </c>
    </row>
    <row r="21" spans="2:4" x14ac:dyDescent="0.2">
      <c r="B21" s="13" t="s">
        <v>296</v>
      </c>
    </row>
    <row r="23" spans="2:4" x14ac:dyDescent="0.2">
      <c r="B23" s="5" t="s">
        <v>297</v>
      </c>
    </row>
    <row r="24" spans="2:4" x14ac:dyDescent="0.2">
      <c r="B24" s="24" t="s">
        <v>298</v>
      </c>
      <c r="D24" t="s">
        <v>299</v>
      </c>
    </row>
    <row r="25" spans="2:4" x14ac:dyDescent="0.2">
      <c r="B25" s="24" t="s">
        <v>300</v>
      </c>
      <c r="D25" t="s">
        <v>105</v>
      </c>
    </row>
  </sheetData>
  <mergeCells count="2">
    <mergeCell ref="A1:J1"/>
    <mergeCell ref="B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Embedding</vt:lpstr>
      <vt:lpstr>Parameters</vt:lpstr>
      <vt:lpstr>Encoder</vt:lpstr>
      <vt:lpstr>Decoder_TeacherForcing</vt:lpstr>
      <vt:lpstr>Decoder_Autoregressive</vt:lpstr>
      <vt:lpstr>Comparison</vt:lpstr>
      <vt:lpstr>Backward</vt:lpstr>
      <vt:lpstr>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Jihwan Kim</cp:lastModifiedBy>
  <dcterms:created xsi:type="dcterms:W3CDTF">2026-01-20T06:50:39Z</dcterms:created>
  <dcterms:modified xsi:type="dcterms:W3CDTF">2026-02-10T02:30:49Z</dcterms:modified>
</cp:coreProperties>
</file>