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Encoder" sheetId="4" state="visible" r:id="rId4"/>
    <sheet xmlns:r="http://schemas.openxmlformats.org/officeDocument/2006/relationships" name="Decoder_TeacherForcing" sheetId="5" state="visible" r:id="rId5"/>
    <sheet xmlns:r="http://schemas.openxmlformats.org/officeDocument/2006/relationships" name="Decoder_Autoregressive" sheetId="6" state="visible" r:id="rId6"/>
    <sheet xmlns:r="http://schemas.openxmlformats.org/officeDocument/2006/relationships" name="Comparison" sheetId="7" state="visible" r:id="rId7"/>
    <sheet xmlns:r="http://schemas.openxmlformats.org/officeDocument/2006/relationships" name="Backward" sheetId="8" state="visible" r:id="rId8"/>
    <sheet xmlns:r="http://schemas.openxmlformats.org/officeDocument/2006/relationships" name="Answer_Ke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3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B4C6E7"/>
        <bgColor rgb="00B4C6E7"/>
      </patternFill>
    </fill>
    <fill>
      <patternFill patternType="solid">
        <fgColor rgb="00C5E0B4"/>
        <bgColor rgb="00C5E0B4"/>
      </patternFill>
    </fill>
    <fill>
      <patternFill patternType="solid">
        <fgColor rgb="00FFD966"/>
        <bgColor rgb="00FFD966"/>
      </patternFill>
    </fill>
    <fill>
      <patternFill patternType="solid">
        <fgColor rgb="00F4B183"/>
        <bgColor rgb="00F4B183"/>
      </patternFill>
    </fill>
    <fill>
      <patternFill patternType="solid">
        <fgColor rgb="00FFFACD"/>
        <bgColor rgb="00FFFACD"/>
      </patternFill>
    </fill>
    <fill>
      <patternFill patternType="solid">
        <fgColor rgb="00DAEEF3"/>
        <bgColor rgb="00DAEEF3"/>
      </patternFill>
    </fill>
    <fill>
      <patternFill patternType="solid">
        <fgColor rgb="00FDE9D9"/>
        <bgColor rgb="00FDE9D9"/>
      </patternFill>
    </fill>
    <fill>
      <patternFill patternType="solid">
        <fgColor rgb="00CCFFCC"/>
        <bgColor rgb="00CCFFCC"/>
      </patternFill>
    </fill>
    <fill>
      <patternFill patternType="solid">
        <fgColor rgb="00FFCCCC"/>
        <bgColor rgb="00FFCCCC"/>
      </patternFill>
    </fill>
    <fill>
      <patternFill patternType="solid">
        <fgColor rgb="00E4DFEC"/>
        <bgColor rgb="00E4DFE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1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0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8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/>
    <row r="2">
      <c r="B2" s="1" t="inlineStr">
        <is>
          <t>Seq2Seq (Encoder-Decoder) for Machine Translation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5" t="n"/>
    </row>
    <row r="3"/>
    <row r="4">
      <c r="B4" s="1" t="inlineStr">
        <is>
          <t>Task: English → Korean Translation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5" t="n"/>
    </row>
    <row r="5">
      <c r="B5" s="2" t="inlineStr">
        <is>
          <t>Input: "I love you"</t>
        </is>
      </c>
    </row>
    <row r="6">
      <c r="B6" s="3" t="inlineStr">
        <is>
          <t>Output: "I love you"</t>
        </is>
      </c>
    </row>
    <row r="7"/>
    <row r="8"/>
    <row r="9">
      <c r="B9" s="1" t="inlineStr">
        <is>
          <t>═══ Seq2Seq Architecture ═══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5" t="n"/>
    </row>
    <row r="10"/>
    <row r="11">
      <c r="B11" s="6" t="inlineStr">
        <is>
          <t>ENCODER</t>
        </is>
      </c>
      <c r="C11" s="4" t="n"/>
      <c r="D11" s="4" t="n"/>
      <c r="E11" s="4" t="n"/>
      <c r="F11" s="4" t="n"/>
      <c r="G11" s="5" t="n"/>
      <c r="J11" s="7" t="inlineStr">
        <is>
          <t>DECODER</t>
        </is>
      </c>
      <c r="K11" s="4" t="n"/>
      <c r="L11" s="4" t="n"/>
      <c r="M11" s="4" t="n"/>
      <c r="N11" s="4" t="n"/>
      <c r="O11" s="4" t="n"/>
      <c r="P11" s="4" t="n"/>
      <c r="Q11" s="5" t="n"/>
    </row>
    <row r="12"/>
    <row r="13">
      <c r="B13" s="8" t="inlineStr">
        <is>
          <t>I</t>
        </is>
      </c>
      <c r="D13" s="8" t="inlineStr">
        <is>
          <t>love</t>
        </is>
      </c>
      <c r="F13" s="8" t="inlineStr">
        <is>
          <t>you</t>
        </is>
      </c>
      <c r="J13" s="9" t="inlineStr">
        <is>
          <t>&lt;SOS&gt;</t>
        </is>
      </c>
      <c r="L13" s="9" t="inlineStr">
        <is>
          <t>I</t>
        </is>
      </c>
      <c r="N13" s="9" t="inlineStr">
        <is>
          <t>you</t>
        </is>
      </c>
      <c r="P13" s="9" t="inlineStr">
        <is>
          <t>love</t>
        </is>
      </c>
    </row>
    <row r="14">
      <c r="B14" s="10" t="inlineStr">
        <is>
          <t>↓</t>
        </is>
      </c>
      <c r="D14" s="10" t="inlineStr">
        <is>
          <t>↓</t>
        </is>
      </c>
      <c r="F14" s="10" t="inlineStr">
        <is>
          <t>↓</t>
        </is>
      </c>
      <c r="J14" s="10" t="inlineStr">
        <is>
          <t>↓</t>
        </is>
      </c>
      <c r="L14" s="10" t="inlineStr">
        <is>
          <t>↓</t>
        </is>
      </c>
      <c r="N14" s="10" t="inlineStr">
        <is>
          <t>↓</t>
        </is>
      </c>
      <c r="P14" s="10" t="inlineStr">
        <is>
          <t>↓</t>
        </is>
      </c>
    </row>
    <row r="15">
      <c r="B15" s="8" t="inlineStr">
        <is>
          <t>h₁</t>
        </is>
      </c>
      <c r="C15" s="10" t="inlineStr">
        <is>
          <t>→</t>
        </is>
      </c>
      <c r="D15" s="8" t="inlineStr">
        <is>
          <t>h₂</t>
        </is>
      </c>
      <c r="E15" s="10" t="inlineStr">
        <is>
          <t>→</t>
        </is>
      </c>
      <c r="F15" s="8" t="inlineStr">
        <is>
          <t>h₃</t>
        </is>
      </c>
      <c r="G15" s="10" t="inlineStr">
        <is>
          <t>→</t>
        </is>
      </c>
      <c r="H15" s="11" t="inlineStr">
        <is>
          <t>Context</t>
        </is>
      </c>
      <c r="I15" s="10" t="inlineStr">
        <is>
          <t>→</t>
        </is>
      </c>
      <c r="J15" s="9" t="inlineStr">
        <is>
          <t>s₁</t>
        </is>
      </c>
      <c r="K15" s="10" t="inlineStr">
        <is>
          <t>→</t>
        </is>
      </c>
      <c r="L15" s="9" t="inlineStr">
        <is>
          <t>s₂</t>
        </is>
      </c>
      <c r="M15" s="10" t="inlineStr">
        <is>
          <t>→</t>
        </is>
      </c>
      <c r="N15" s="9" t="inlineStr">
        <is>
          <t>s₃</t>
        </is>
      </c>
      <c r="O15" s="10" t="inlineStr">
        <is>
          <t>→</t>
        </is>
      </c>
      <c r="P15" s="9" t="inlineStr">
        <is>
          <t>s₄</t>
        </is>
      </c>
    </row>
    <row r="16">
      <c r="J16" s="10" t="inlineStr">
        <is>
          <t>↓</t>
        </is>
      </c>
      <c r="L16" s="10" t="inlineStr">
        <is>
          <t>↓</t>
        </is>
      </c>
      <c r="N16" s="10" t="inlineStr">
        <is>
          <t>↓</t>
        </is>
      </c>
      <c r="P16" s="10" t="inlineStr">
        <is>
          <t>↓</t>
        </is>
      </c>
    </row>
    <row r="17">
      <c r="J17" s="12" t="inlineStr">
        <is>
          <t>I</t>
        </is>
      </c>
      <c r="L17" s="12" t="inlineStr">
        <is>
          <t>you</t>
        </is>
      </c>
      <c r="N17" s="12" t="inlineStr">
        <is>
          <t>love</t>
        </is>
      </c>
      <c r="P17" s="12" t="inlineStr">
        <is>
          <t>&lt;EOS&gt;</t>
        </is>
      </c>
    </row>
    <row r="18"/>
    <row r="19"/>
    <row r="20">
      <c r="B20" s="1" t="inlineStr">
        <is>
          <t>═══ Key Concepts ═══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5" t="n"/>
    </row>
    <row r="21"/>
    <row r="22">
      <c r="B22" s="13" t="inlineStr">
        <is>
          <t>Encoder:</t>
        </is>
      </c>
      <c r="E22" t="inlineStr">
        <is>
          <t>Process input sequence to generate Context Vector</t>
        </is>
      </c>
    </row>
    <row r="23">
      <c r="B23" s="13" t="inlineStr">
        <is>
          <t>Context Vector:</t>
        </is>
      </c>
      <c r="E23" t="inlineStr">
        <is>
          <t>Fixed-size vector compressing input sequence information</t>
        </is>
      </c>
    </row>
    <row r="24">
      <c r="B24" s="13" t="inlineStr">
        <is>
          <t>Decoder:</t>
        </is>
      </c>
      <c r="E24" t="inlineStr">
        <is>
          <t>Receive Context Vector and generate output sequence</t>
        </is>
      </c>
    </row>
    <row r="25">
      <c r="B25" s="13" t="inlineStr">
        <is>
          <t>Teacher Forcing:</t>
        </is>
      </c>
      <c r="E25" t="inlineStr">
        <is>
          <t>Use ground truth as next input during training</t>
        </is>
      </c>
    </row>
    <row r="26">
      <c r="B26" s="13" t="inlineStr">
        <is>
          <t>Autoregressive:</t>
        </is>
      </c>
      <c r="E26" t="inlineStr">
        <is>
          <t>Use prediction as next input during inference</t>
        </is>
      </c>
    </row>
  </sheetData>
  <mergeCells count="6">
    <mergeCell ref="B4:AB4"/>
    <mergeCell ref="B9:AB9"/>
    <mergeCell ref="J11:Q11"/>
    <mergeCell ref="B2:AB2"/>
    <mergeCell ref="B20:AB20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/>
    <row r="2">
      <c r="B2" s="1" t="inlineStr">
        <is>
          <t>Vocabulary &amp; Embedding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3"/>
    <row r="4">
      <c r="B4" s="6" t="inlineStr">
        <is>
          <t>Source Vocabulary (English)</t>
        </is>
      </c>
      <c r="C4" s="4" t="n"/>
      <c r="D4" s="4" t="n"/>
      <c r="E4" s="4" t="n"/>
      <c r="F4" s="4" t="n"/>
      <c r="G4" s="4" t="n"/>
      <c r="H4" s="4" t="n"/>
      <c r="I4" s="4" t="n"/>
      <c r="J4" s="5" t="n"/>
    </row>
    <row r="5">
      <c r="B5" s="1" t="inlineStr">
        <is>
          <t>Word</t>
        </is>
      </c>
      <c r="C5" s="1" t="inlineStr">
        <is>
          <t>ID</t>
        </is>
      </c>
      <c r="D5" s="1" t="inlineStr">
        <is>
          <t>d0</t>
        </is>
      </c>
      <c r="E5" s="1" t="inlineStr">
        <is>
          <t>d1</t>
        </is>
      </c>
      <c r="F5" s="1" t="inlineStr">
        <is>
          <t>d2</t>
        </is>
      </c>
      <c r="G5" s="1" t="inlineStr">
        <is>
          <t>d3</t>
        </is>
      </c>
    </row>
    <row r="6">
      <c r="B6" s="8" t="inlineStr">
        <is>
          <t>&lt;PAD&gt;</t>
        </is>
      </c>
      <c r="C6" s="14" t="n">
        <v>0</v>
      </c>
      <c r="D6" s="8" t="n">
        <v>0</v>
      </c>
      <c r="E6" s="8" t="n">
        <v>0</v>
      </c>
      <c r="F6" s="8" t="n">
        <v>0</v>
      </c>
      <c r="G6" s="8" t="n">
        <v>0</v>
      </c>
    </row>
    <row r="7">
      <c r="B7" s="8" t="inlineStr">
        <is>
          <t>&lt;SOS&gt;</t>
        </is>
      </c>
      <c r="C7" s="14" t="n">
        <v>1</v>
      </c>
      <c r="D7" s="8" t="n">
        <v>0.1</v>
      </c>
      <c r="E7" s="8" t="n">
        <v>0.1</v>
      </c>
      <c r="F7" s="8" t="n">
        <v>0.1</v>
      </c>
      <c r="G7" s="8" t="n">
        <v>0.1</v>
      </c>
    </row>
    <row r="8">
      <c r="B8" s="8" t="inlineStr">
        <is>
          <t>&lt;EOS&gt;</t>
        </is>
      </c>
      <c r="C8" s="14" t="n">
        <v>2</v>
      </c>
      <c r="D8" s="8" t="n">
        <v>0.2</v>
      </c>
      <c r="E8" s="8" t="n">
        <v>0.2</v>
      </c>
      <c r="F8" s="8" t="n">
        <v>0.2</v>
      </c>
      <c r="G8" s="8" t="n">
        <v>0.2</v>
      </c>
    </row>
    <row r="9">
      <c r="B9" s="8" t="inlineStr">
        <is>
          <t>I</t>
        </is>
      </c>
      <c r="C9" s="14" t="n">
        <v>3</v>
      </c>
      <c r="D9" s="8" t="n">
        <v>0.3</v>
      </c>
      <c r="E9" s="8" t="n">
        <v>-0.2</v>
      </c>
      <c r="F9" s="8" t="n">
        <v>0.4</v>
      </c>
      <c r="G9" s="8" t="n">
        <v>0.1</v>
      </c>
    </row>
    <row r="10">
      <c r="B10" s="8" t="inlineStr">
        <is>
          <t>love</t>
        </is>
      </c>
      <c r="C10" s="14" t="n">
        <v>4</v>
      </c>
      <c r="D10" s="8" t="n">
        <v>0.5</v>
      </c>
      <c r="E10" s="8" t="n">
        <v>0.3</v>
      </c>
      <c r="F10" s="8" t="n">
        <v>-0.1</v>
      </c>
      <c r="G10" s="8" t="n">
        <v>0.4</v>
      </c>
    </row>
    <row r="11">
      <c r="B11" s="8" t="inlineStr">
        <is>
          <t>you</t>
        </is>
      </c>
      <c r="C11" s="14" t="n">
        <v>5</v>
      </c>
      <c r="D11" s="8" t="n">
        <v>-0.2</v>
      </c>
      <c r="E11" s="8" t="n">
        <v>0.4</v>
      </c>
      <c r="F11" s="8" t="n">
        <v>0.3</v>
      </c>
      <c r="G11" s="8" t="n">
        <v>-0.3</v>
      </c>
    </row>
    <row r="12"/>
    <row r="13"/>
    <row r="14">
      <c r="B14" s="7" t="inlineStr">
        <is>
          <t>Target Vocabulary (Korean)</t>
        </is>
      </c>
      <c r="C14" s="4" t="n"/>
      <c r="D14" s="4" t="n"/>
      <c r="E14" s="4" t="n"/>
      <c r="F14" s="4" t="n"/>
      <c r="G14" s="4" t="n"/>
      <c r="H14" s="4" t="n"/>
      <c r="I14" s="4" t="n"/>
      <c r="J14" s="5" t="n"/>
    </row>
    <row r="15">
      <c r="B15" s="1" t="inlineStr">
        <is>
          <t>Word</t>
        </is>
      </c>
      <c r="C15" s="1" t="inlineStr">
        <is>
          <t>ID</t>
        </is>
      </c>
      <c r="D15" s="1" t="inlineStr">
        <is>
          <t>d0</t>
        </is>
      </c>
      <c r="E15" s="1" t="inlineStr">
        <is>
          <t>d1</t>
        </is>
      </c>
      <c r="F15" s="1" t="inlineStr">
        <is>
          <t>d2</t>
        </is>
      </c>
      <c r="G15" s="1" t="inlineStr">
        <is>
          <t>d3</t>
        </is>
      </c>
    </row>
    <row r="16">
      <c r="B16" s="9" t="inlineStr">
        <is>
          <t>&lt;PAD&gt;</t>
        </is>
      </c>
      <c r="C16" s="14" t="n">
        <v>0</v>
      </c>
      <c r="D16" s="9" t="n">
        <v>0</v>
      </c>
      <c r="E16" s="9" t="n">
        <v>0</v>
      </c>
      <c r="F16" s="9" t="n">
        <v>0</v>
      </c>
      <c r="G16" s="9" t="n">
        <v>0</v>
      </c>
    </row>
    <row r="17">
      <c r="B17" s="9" t="inlineStr">
        <is>
          <t>&lt;SOS&gt;</t>
        </is>
      </c>
      <c r="C17" s="14" t="n">
        <v>1</v>
      </c>
      <c r="D17" s="9" t="n">
        <v>0.1</v>
      </c>
      <c r="E17" s="9" t="n">
        <v>0.2</v>
      </c>
      <c r="F17" s="9" t="n">
        <v>-0.1</v>
      </c>
      <c r="G17" s="9" t="n">
        <v>0.1</v>
      </c>
    </row>
    <row r="18">
      <c r="B18" s="9" t="inlineStr">
        <is>
          <t>&lt;EOS&gt;</t>
        </is>
      </c>
      <c r="C18" s="14" t="n">
        <v>2</v>
      </c>
      <c r="D18" s="9" t="n">
        <v>0.2</v>
      </c>
      <c r="E18" s="9" t="n">
        <v>-0.1</v>
      </c>
      <c r="F18" s="9" t="n">
        <v>0.2</v>
      </c>
      <c r="G18" s="9" t="n">
        <v>0.1</v>
      </c>
    </row>
    <row r="19">
      <c r="B19" s="9" t="inlineStr">
        <is>
          <t>I</t>
        </is>
      </c>
      <c r="C19" s="14" t="n">
        <v>3</v>
      </c>
      <c r="D19" s="9" t="n">
        <v>0.4</v>
      </c>
      <c r="E19" s="9" t="n">
        <v>0.1</v>
      </c>
      <c r="F19" s="9" t="n">
        <v>-0.2</v>
      </c>
      <c r="G19" s="9" t="n">
        <v>0.3</v>
      </c>
    </row>
    <row r="20">
      <c r="B20" s="9" t="inlineStr">
        <is>
          <t>you</t>
        </is>
      </c>
      <c r="C20" s="14" t="n">
        <v>4</v>
      </c>
      <c r="D20" s="9" t="n">
        <v>-0.1</v>
      </c>
      <c r="E20" s="9" t="n">
        <v>0.5</v>
      </c>
      <c r="F20" s="9" t="n">
        <v>0.2</v>
      </c>
      <c r="G20" s="9" t="n">
        <v>-0.2</v>
      </c>
    </row>
    <row r="21">
      <c r="B21" s="9" t="inlineStr">
        <is>
          <t>love</t>
        </is>
      </c>
      <c r="C21" s="14" t="n">
        <v>5</v>
      </c>
      <c r="D21" s="9" t="n">
        <v>0.3</v>
      </c>
      <c r="E21" s="9" t="n">
        <v>-0.3</v>
      </c>
      <c r="F21" s="9" t="n">
        <v>0.4</v>
      </c>
      <c r="G21" s="9" t="n">
        <v>0.5</v>
      </c>
    </row>
  </sheetData>
  <mergeCells count="3">
    <mergeCell ref="B2:T2"/>
    <mergeCell ref="B14:J14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/>
    <row r="2">
      <c r="B2" s="1" t="inlineStr">
        <is>
          <t>Seq2Seq Parameters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5" t="n"/>
    </row>
    <row r="3"/>
    <row r="4">
      <c r="B4" s="6" t="inlineStr">
        <is>
          <t>═══ Encoder Parameters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5"/>
    <row r="6">
      <c r="B6" s="6" t="inlineStr">
        <is>
          <t>enc_Wxh (4×3)</t>
        </is>
      </c>
      <c r="G6" s="6" t="inlineStr">
        <is>
          <t>enc_bh (3)</t>
        </is>
      </c>
    </row>
    <row r="7">
      <c r="B7" s="8" t="n">
        <v>0.2</v>
      </c>
      <c r="C7" s="8" t="n">
        <v>-0.1</v>
      </c>
      <c r="D7" s="8" t="n">
        <v>0.3</v>
      </c>
      <c r="G7" s="8" t="n">
        <v>0.1</v>
      </c>
    </row>
    <row r="8">
      <c r="B8" s="8" t="n">
        <v>0.1</v>
      </c>
      <c r="C8" s="8" t="n">
        <v>0.3</v>
      </c>
      <c r="D8" s="8" t="n">
        <v>-0.2</v>
      </c>
      <c r="G8" s="8" t="n">
        <v>-0.05</v>
      </c>
    </row>
    <row r="9">
      <c r="B9" s="8" t="n">
        <v>-0.2</v>
      </c>
      <c r="C9" s="8" t="n">
        <v>0.2</v>
      </c>
      <c r="D9" s="8" t="n">
        <v>0.1</v>
      </c>
      <c r="G9" s="8" t="n">
        <v>0.05</v>
      </c>
    </row>
    <row r="10">
      <c r="B10" s="8" t="n">
        <v>0.3</v>
      </c>
      <c r="C10" s="8" t="n">
        <v>-0.1</v>
      </c>
      <c r="D10" s="8" t="n">
        <v>0.2</v>
      </c>
    </row>
    <row r="11"/>
    <row r="12">
      <c r="B12" s="6" t="inlineStr">
        <is>
          <t>enc_Whh (3×3)</t>
        </is>
      </c>
    </row>
    <row r="13">
      <c r="B13" s="8" t="n">
        <v>0.2</v>
      </c>
      <c r="C13" s="8" t="n">
        <v>-0.1</v>
      </c>
      <c r="D13" s="8" t="n">
        <v>0.1</v>
      </c>
    </row>
    <row r="14">
      <c r="B14" s="8" t="n">
        <v>0.1</v>
      </c>
      <c r="C14" s="8" t="n">
        <v>0.3</v>
      </c>
      <c r="D14" s="8" t="n">
        <v>-0.2</v>
      </c>
    </row>
    <row r="15">
      <c r="B15" s="8" t="n">
        <v>-0.1</v>
      </c>
      <c r="C15" s="8" t="n">
        <v>0.2</v>
      </c>
      <c r="D15" s="8" t="n">
        <v>0.2</v>
      </c>
    </row>
    <row r="16"/>
    <row r="17"/>
    <row r="18">
      <c r="B18" s="7" t="inlineStr">
        <is>
          <t>═══ Decoder Parameters ═══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5" t="n"/>
    </row>
    <row r="19"/>
    <row r="20">
      <c r="B20" s="7" t="inlineStr">
        <is>
          <t>dec_Wxh (4×3)</t>
        </is>
      </c>
      <c r="G20" s="7" t="inlineStr">
        <is>
          <t>dec_bh (3)</t>
        </is>
      </c>
    </row>
    <row r="21">
      <c r="B21" s="9" t="n">
        <v>0.3</v>
      </c>
      <c r="C21" s="9" t="n">
        <v>-0.2</v>
      </c>
      <c r="D21" s="9" t="n">
        <v>0.1</v>
      </c>
      <c r="G21" s="9" t="n">
        <v>0.05</v>
      </c>
    </row>
    <row r="22">
      <c r="B22" s="9" t="n">
        <v>-0.1</v>
      </c>
      <c r="C22" s="9" t="n">
        <v>0.4</v>
      </c>
      <c r="D22" s="9" t="n">
        <v>0.2</v>
      </c>
      <c r="G22" s="9" t="n">
        <v>0.1</v>
      </c>
    </row>
    <row r="23">
      <c r="B23" s="9" t="n">
        <v>0.2</v>
      </c>
      <c r="C23" s="9" t="n">
        <v>0.1</v>
      </c>
      <c r="D23" s="9" t="n">
        <v>-0.3</v>
      </c>
      <c r="G23" s="9" t="n">
        <v>-0.05</v>
      </c>
    </row>
    <row r="24">
      <c r="B24" s="9" t="n">
        <v>0.1</v>
      </c>
      <c r="C24" s="9" t="n">
        <v>-0.2</v>
      </c>
      <c r="D24" s="9" t="n">
        <v>0.4</v>
      </c>
    </row>
    <row r="25"/>
    <row r="26">
      <c r="B26" s="7" t="inlineStr">
        <is>
          <t>dec_Whh (3×3)</t>
        </is>
      </c>
    </row>
    <row r="27">
      <c r="B27" s="9" t="n">
        <v>0.3</v>
      </c>
      <c r="C27" s="9" t="n">
        <v>-0.1</v>
      </c>
      <c r="D27" s="9" t="n">
        <v>0.2</v>
      </c>
    </row>
    <row r="28">
      <c r="B28" s="9" t="n">
        <v>0.1</v>
      </c>
      <c r="C28" s="9" t="n">
        <v>0.2</v>
      </c>
      <c r="D28" s="9" t="n">
        <v>-0.1</v>
      </c>
    </row>
    <row r="29">
      <c r="B29" s="9" t="n">
        <v>-0.2</v>
      </c>
      <c r="C29" s="9" t="n">
        <v>0.1</v>
      </c>
      <c r="D29" s="9" t="n">
        <v>0.3</v>
      </c>
    </row>
    <row r="30"/>
    <row r="31"/>
    <row r="32">
      <c r="B32" s="15" t="inlineStr">
        <is>
          <t>dec_Why (6×3)</t>
        </is>
      </c>
      <c r="G32" s="15" t="inlineStr">
        <is>
          <t>dec_by (6)</t>
        </is>
      </c>
    </row>
    <row r="33">
      <c r="B33" s="14" t="inlineStr">
        <is>
          <t>&lt;PAD&gt;</t>
        </is>
      </c>
      <c r="C33" s="12" t="n">
        <v>0.4</v>
      </c>
      <c r="D33" s="12" t="n">
        <v>-0.2</v>
      </c>
      <c r="E33" s="12" t="n">
        <v>0.3</v>
      </c>
      <c r="G33" s="12" t="n">
        <v>0.1</v>
      </c>
    </row>
    <row r="34">
      <c r="B34" s="14" t="inlineStr">
        <is>
          <t>&lt;SOS&gt;</t>
        </is>
      </c>
      <c r="C34" s="12" t="n">
        <v>0.1</v>
      </c>
      <c r="D34" s="12" t="n">
        <v>0.3</v>
      </c>
      <c r="E34" s="12" t="n">
        <v>-0.1</v>
      </c>
      <c r="G34" s="12" t="n">
        <v>0.05</v>
      </c>
    </row>
    <row r="35">
      <c r="B35" s="14" t="inlineStr">
        <is>
          <t>&lt;EOS&gt;</t>
        </is>
      </c>
      <c r="C35" s="12" t="n">
        <v>-0.2</v>
      </c>
      <c r="D35" s="12" t="n">
        <v>0.1</v>
      </c>
      <c r="E35" s="12" t="n">
        <v>0.4</v>
      </c>
      <c r="G35" s="12" t="n">
        <v>-0.1</v>
      </c>
    </row>
    <row r="36">
      <c r="B36" s="14" t="inlineStr">
        <is>
          <t>I</t>
        </is>
      </c>
      <c r="C36" s="12" t="n">
        <v>0.3</v>
      </c>
      <c r="D36" s="12" t="n">
        <v>-0.1</v>
      </c>
      <c r="E36" s="12" t="n">
        <v>0.2</v>
      </c>
      <c r="G36" s="12" t="n">
        <v>0.1</v>
      </c>
    </row>
    <row r="37">
      <c r="B37" s="14" t="inlineStr">
        <is>
          <t>you</t>
        </is>
      </c>
      <c r="C37" s="12" t="n">
        <v>-0.1</v>
      </c>
      <c r="D37" s="12" t="n">
        <v>0.4</v>
      </c>
      <c r="E37" s="12" t="n">
        <v>0.1</v>
      </c>
      <c r="G37" s="12" t="n">
        <v>-0.05</v>
      </c>
    </row>
    <row r="38">
      <c r="B38" s="14" t="inlineStr">
        <is>
          <t>love</t>
        </is>
      </c>
      <c r="C38" s="12" t="n">
        <v>0.2</v>
      </c>
      <c r="D38" s="12" t="n">
        <v>0.2</v>
      </c>
      <c r="E38" s="12" t="n">
        <v>-0.2</v>
      </c>
      <c r="G38" s="12" t="n">
        <v>0.05</v>
      </c>
    </row>
  </sheetData>
  <mergeCells count="3">
    <mergeCell ref="B4:N4"/>
    <mergeCell ref="B18:N18"/>
    <mergeCell ref="B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4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/>
    <row r="2">
      <c r="B2" s="6" t="inlineStr">
        <is>
          <t>Encoder Forward Pass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3"/>
    <row r="4">
      <c r="B4" s="1" t="inlineStr">
        <is>
          <t>═══ Encoder Parameters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5"/>
    <row r="6">
      <c r="B6" s="6" t="inlineStr">
        <is>
          <t>enc_Wxh:</t>
        </is>
      </c>
    </row>
    <row r="7">
      <c r="B7" s="8" t="n">
        <v>0.2</v>
      </c>
      <c r="C7" s="8" t="n">
        <v>-0.1</v>
      </c>
      <c r="D7" s="8" t="n">
        <v>0.3</v>
      </c>
    </row>
    <row r="8">
      <c r="B8" s="8" t="n">
        <v>0.1</v>
      </c>
      <c r="C8" s="8" t="n">
        <v>0.3</v>
      </c>
      <c r="D8" s="8" t="n">
        <v>-0.2</v>
      </c>
    </row>
    <row r="9">
      <c r="B9" s="8" t="n">
        <v>-0.2</v>
      </c>
      <c r="C9" s="8" t="n">
        <v>0.2</v>
      </c>
      <c r="D9" s="8" t="n">
        <v>0.1</v>
      </c>
    </row>
    <row r="10">
      <c r="B10" s="8" t="n">
        <v>0.3</v>
      </c>
      <c r="C10" s="8" t="n">
        <v>-0.1</v>
      </c>
      <c r="D10" s="8" t="n">
        <v>0.2</v>
      </c>
    </row>
    <row r="11"/>
    <row r="12">
      <c r="B12" s="6" t="inlineStr">
        <is>
          <t>enc_Whh:</t>
        </is>
      </c>
      <c r="F12" s="6" t="inlineStr">
        <is>
          <t>enc_bh:</t>
        </is>
      </c>
    </row>
    <row r="13">
      <c r="B13" s="8" t="n">
        <v>0.2</v>
      </c>
      <c r="C13" s="8" t="n">
        <v>-0.1</v>
      </c>
      <c r="D13" s="8" t="n">
        <v>0.1</v>
      </c>
      <c r="F13" s="8" t="n">
        <v>0.1</v>
      </c>
    </row>
    <row r="14">
      <c r="B14" s="8" t="n">
        <v>0.1</v>
      </c>
      <c r="C14" s="8" t="n">
        <v>0.3</v>
      </c>
      <c r="D14" s="8" t="n">
        <v>-0.2</v>
      </c>
      <c r="F14" s="8" t="n">
        <v>-0.05</v>
      </c>
    </row>
    <row r="15">
      <c r="B15" s="8" t="n">
        <v>-0.1</v>
      </c>
      <c r="C15" s="8" t="n">
        <v>0.2</v>
      </c>
      <c r="D15" s="8" t="n">
        <v>0.2</v>
      </c>
      <c r="F15" s="8" t="n">
        <v>0.05</v>
      </c>
    </row>
    <row r="16"/>
    <row r="17"/>
    <row r="18">
      <c r="B18" s="6" t="inlineStr">
        <is>
          <t>═══ Input: "I love you" ═══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5" t="n"/>
    </row>
    <row r="19"/>
    <row r="20">
      <c r="B20" s="6" t="inlineStr">
        <is>
          <t>──── t=0: 'I' (ID=3) ────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5" t="n"/>
    </row>
    <row r="21">
      <c r="B21" s="16" t="inlineStr">
        <is>
          <t>e_t =</t>
        </is>
      </c>
      <c r="D21" s="17" t="n">
        <v>0.3</v>
      </c>
      <c r="E21" s="17" t="n">
        <v>-0.2</v>
      </c>
      <c r="F21" s="17" t="n">
        <v>0.4</v>
      </c>
      <c r="G21" s="17" t="n">
        <v>0.1</v>
      </c>
    </row>
    <row r="22">
      <c r="B22" s="1" t="inlineStr">
        <is>
          <t>h_{t-1} =</t>
        </is>
      </c>
      <c r="D22" s="14" t="n">
        <v>0</v>
      </c>
      <c r="E22" s="14" t="n">
        <v>0</v>
      </c>
      <c r="F22" s="14" t="n">
        <v>0</v>
      </c>
    </row>
    <row r="23"/>
    <row r="24">
      <c r="B24" s="6" t="inlineStr">
        <is>
          <t>① enc_Wxh^T · e_t:</t>
        </is>
      </c>
    </row>
    <row r="25">
      <c r="B25" s="8" t="inlineStr">
        <is>
          <t xml:space="preserve">  [0]</t>
        </is>
      </c>
      <c r="C25">
        <f> (0.2×0.3) + (0.1×-0.2) + (-0.2×0.4) + (0.3×0.1)</f>
        <v/>
      </c>
      <c r="P25" s="8">
        <f> -0.01</f>
        <v/>
      </c>
    </row>
    <row r="26">
      <c r="B26" s="8" t="inlineStr">
        <is>
          <t xml:space="preserve">  [1]</t>
        </is>
      </c>
      <c r="C26">
        <f> (-0.1×0.3) + (0.3×-0.2) + (0.2×0.4) + (-0.1×0.1)</f>
        <v/>
      </c>
      <c r="P26" s="8">
        <f> -0.02</f>
        <v/>
      </c>
    </row>
    <row r="27">
      <c r="B27" s="8" t="inlineStr">
        <is>
          <t xml:space="preserve">  [2]</t>
        </is>
      </c>
      <c r="C27">
        <f> (0.3×0.3) + (-0.2×-0.2) + (0.1×0.4) + (0.2×0.1)</f>
        <v/>
      </c>
      <c r="P27" s="8">
        <f> 0.19</f>
        <v/>
      </c>
    </row>
    <row r="28"/>
    <row r="29">
      <c r="B29" s="6" t="inlineStr">
        <is>
          <t>② enc_Whh^T · h_{t-1}:</t>
        </is>
      </c>
    </row>
    <row r="30">
      <c r="B30" s="8" t="inlineStr">
        <is>
          <t xml:space="preserve">  [0]</t>
        </is>
      </c>
      <c r="C30">
        <f> (0.2×0.0) + (0.1×0.0) + (-0.1×0.0)</f>
        <v/>
      </c>
      <c r="P30" s="8">
        <f> 0.0</f>
        <v/>
      </c>
    </row>
    <row r="31">
      <c r="B31" s="8" t="inlineStr">
        <is>
          <t xml:space="preserve">  [1]</t>
        </is>
      </c>
      <c r="C31">
        <f> (-0.1×0.0) + (0.3×0.0) + (0.2×0.0)</f>
        <v/>
      </c>
      <c r="P31" s="8">
        <f> 0.0</f>
        <v/>
      </c>
    </row>
    <row r="32">
      <c r="B32" s="8" t="inlineStr">
        <is>
          <t xml:space="preserve">  [2]</t>
        </is>
      </c>
      <c r="C32">
        <f> (0.1×0.0) + (-0.2×0.0) + (0.2×0.0)</f>
        <v/>
      </c>
      <c r="P32" s="8">
        <f> 0.0</f>
        <v/>
      </c>
    </row>
    <row r="33"/>
    <row r="34">
      <c r="B34" s="18" t="inlineStr">
        <is>
          <t>③ z_h = ① + ② + enc_bh:</t>
        </is>
      </c>
    </row>
    <row r="35">
      <c r="B35" s="19" t="inlineStr">
        <is>
          <t xml:space="preserve">  [0]</t>
        </is>
      </c>
      <c r="C35">
        <f> -0.01 + 0.0 + 0.1</f>
        <v/>
      </c>
      <c r="P35" s="19">
        <f> 0.09</f>
        <v/>
      </c>
    </row>
    <row r="36">
      <c r="B36" s="19" t="inlineStr">
        <is>
          <t xml:space="preserve">  [1]</t>
        </is>
      </c>
      <c r="C36">
        <f> -0.02 + 0.0 + -0.05</f>
        <v/>
      </c>
      <c r="P36" s="19">
        <f> -0.07</f>
        <v/>
      </c>
    </row>
    <row r="37">
      <c r="B37" s="19" t="inlineStr">
        <is>
          <t xml:space="preserve">  [2]</t>
        </is>
      </c>
      <c r="C37">
        <f> 0.19 + 0.0 + 0.05</f>
        <v/>
      </c>
      <c r="P37" s="19">
        <f> 0.24</f>
        <v/>
      </c>
    </row>
    <row r="38"/>
    <row r="39">
      <c r="B39" s="6" t="inlineStr">
        <is>
          <t>④ h_t = tanh(z_h):</t>
        </is>
      </c>
    </row>
    <row r="40">
      <c r="B40" s="8" t="inlineStr">
        <is>
          <t xml:space="preserve">  [0]</t>
        </is>
      </c>
      <c r="C40">
        <f> tanh(0.09)</f>
        <v/>
      </c>
      <c r="P40" s="8">
        <f> 0.0898</f>
        <v/>
      </c>
    </row>
    <row r="41">
      <c r="B41" s="8" t="inlineStr">
        <is>
          <t xml:space="preserve">  [1]</t>
        </is>
      </c>
      <c r="C41">
        <f> tanh(-0.07)</f>
        <v/>
      </c>
      <c r="P41" s="8">
        <f> -0.0699</f>
        <v/>
      </c>
    </row>
    <row r="42">
      <c r="B42" s="8" t="inlineStr">
        <is>
          <t xml:space="preserve">  [2]</t>
        </is>
      </c>
      <c r="C42">
        <f> tanh(0.24)</f>
        <v/>
      </c>
      <c r="P42" s="8">
        <f> 0.2355</f>
        <v/>
      </c>
    </row>
    <row r="43"/>
    <row r="44">
      <c r="B44" s="6" t="inlineStr">
        <is>
          <t>→ h_t =</t>
        </is>
      </c>
      <c r="D44" s="8" t="n">
        <v>0.0898</v>
      </c>
      <c r="E44" s="8" t="n">
        <v>-0.0699</v>
      </c>
      <c r="F44" s="8" t="n">
        <v>0.2355</v>
      </c>
    </row>
    <row r="45"/>
    <row r="46"/>
    <row r="47">
      <c r="B47" s="6" t="inlineStr">
        <is>
          <t>──── t=1: 'love' (ID=4) ────</t>
        </is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5" t="n"/>
    </row>
    <row r="48">
      <c r="B48" s="16" t="inlineStr">
        <is>
          <t>e_t =</t>
        </is>
      </c>
      <c r="D48" s="17" t="n">
        <v>0.5</v>
      </c>
      <c r="E48" s="17" t="n">
        <v>0.3</v>
      </c>
      <c r="F48" s="17" t="n">
        <v>-0.1</v>
      </c>
      <c r="G48" s="17" t="n">
        <v>0.4</v>
      </c>
    </row>
    <row r="49">
      <c r="B49" s="1" t="inlineStr">
        <is>
          <t>h_{t-1} =</t>
        </is>
      </c>
      <c r="D49" s="14" t="n">
        <v>0.0898</v>
      </c>
      <c r="E49" s="14" t="n">
        <v>-0.0699</v>
      </c>
      <c r="F49" s="14" t="n">
        <v>0.2355</v>
      </c>
    </row>
    <row r="50"/>
    <row r="51">
      <c r="B51" s="6" t="inlineStr">
        <is>
          <t>① enc_Wxh^T · e_t:</t>
        </is>
      </c>
    </row>
    <row r="52">
      <c r="B52" s="8" t="inlineStr">
        <is>
          <t xml:space="preserve">  [0]</t>
        </is>
      </c>
      <c r="C52">
        <f> (0.2×0.5) + (0.1×0.3) + (-0.2×-0.1) + (0.3×0.4)</f>
        <v/>
      </c>
      <c r="P52" s="8">
        <f> 0.27</f>
        <v/>
      </c>
    </row>
    <row r="53">
      <c r="B53" s="8" t="inlineStr">
        <is>
          <t xml:space="preserve">  [1]</t>
        </is>
      </c>
      <c r="C53">
        <f> (-0.1×0.5) + (0.3×0.3) + (0.2×-0.1) + (-0.1×0.4)</f>
        <v/>
      </c>
      <c r="P53" s="8">
        <f> -0.02</f>
        <v/>
      </c>
    </row>
    <row r="54">
      <c r="B54" s="8" t="inlineStr">
        <is>
          <t xml:space="preserve">  [2]</t>
        </is>
      </c>
      <c r="C54">
        <f> (0.3×0.5) + (-0.2×0.3) + (0.1×-0.1) + (0.2×0.4)</f>
        <v/>
      </c>
      <c r="P54" s="8">
        <f> 0.16</f>
        <v/>
      </c>
    </row>
    <row r="55"/>
    <row r="56">
      <c r="B56" s="6" t="inlineStr">
        <is>
          <t>② enc_Whh^T · h_{t-1}:</t>
        </is>
      </c>
    </row>
    <row r="57">
      <c r="B57" s="8" t="inlineStr">
        <is>
          <t xml:space="preserve">  [0]</t>
        </is>
      </c>
      <c r="C57">
        <f> (0.2×0.0898) + (0.1×-0.0699) + (-0.1×0.2355)</f>
        <v/>
      </c>
      <c r="P57" s="8">
        <f> -0.0126</f>
        <v/>
      </c>
    </row>
    <row r="58">
      <c r="B58" s="8" t="inlineStr">
        <is>
          <t xml:space="preserve">  [1]</t>
        </is>
      </c>
      <c r="C58">
        <f> (-0.1×0.0898) + (0.3×-0.0699) + (0.2×0.2355)</f>
        <v/>
      </c>
      <c r="P58" s="8">
        <f> 0.0172</f>
        <v/>
      </c>
    </row>
    <row r="59">
      <c r="B59" s="8" t="inlineStr">
        <is>
          <t xml:space="preserve">  [2]</t>
        </is>
      </c>
      <c r="C59">
        <f> (0.1×0.0898) + (-0.2×-0.0699) + (0.2×0.2355)</f>
        <v/>
      </c>
      <c r="P59" s="8">
        <f> 0.0701</f>
        <v/>
      </c>
    </row>
    <row r="60"/>
    <row r="61">
      <c r="B61" s="18" t="inlineStr">
        <is>
          <t>③ z_h = ① + ② + enc_bh:</t>
        </is>
      </c>
    </row>
    <row r="62">
      <c r="B62" s="19" t="inlineStr">
        <is>
          <t xml:space="preserve">  [0]</t>
        </is>
      </c>
      <c r="C62">
        <f> 0.27 + -0.0126 + 0.1</f>
        <v/>
      </c>
      <c r="P62" s="19">
        <f> 0.3574</f>
        <v/>
      </c>
    </row>
    <row r="63">
      <c r="B63" s="19" t="inlineStr">
        <is>
          <t xml:space="preserve">  [1]</t>
        </is>
      </c>
      <c r="C63">
        <f> -0.02 + 0.0172 + -0.05</f>
        <v/>
      </c>
      <c r="P63" s="19">
        <f> -0.0528</f>
        <v/>
      </c>
    </row>
    <row r="64">
      <c r="B64" s="19" t="inlineStr">
        <is>
          <t xml:space="preserve">  [2]</t>
        </is>
      </c>
      <c r="C64">
        <f> 0.16 + 0.0701 + 0.05</f>
        <v/>
      </c>
      <c r="P64" s="19">
        <f> 0.2801</f>
        <v/>
      </c>
    </row>
    <row r="65"/>
    <row r="66">
      <c r="B66" s="6" t="inlineStr">
        <is>
          <t>④ h_t = tanh(z_h):</t>
        </is>
      </c>
    </row>
    <row r="67">
      <c r="B67" s="8" t="inlineStr">
        <is>
          <t xml:space="preserve">  [0]</t>
        </is>
      </c>
      <c r="C67">
        <f> tanh(0.3574)</f>
        <v/>
      </c>
      <c r="P67" s="8">
        <f> 0.3429</f>
        <v/>
      </c>
    </row>
    <row r="68">
      <c r="B68" s="8" t="inlineStr">
        <is>
          <t xml:space="preserve">  [1]</t>
        </is>
      </c>
      <c r="C68">
        <f> tanh(-0.0528)</f>
        <v/>
      </c>
      <c r="P68" s="8">
        <f> -0.0528</f>
        <v/>
      </c>
    </row>
    <row r="69">
      <c r="B69" s="8" t="inlineStr">
        <is>
          <t xml:space="preserve">  [2]</t>
        </is>
      </c>
      <c r="C69">
        <f> tanh(0.2801)</f>
        <v/>
      </c>
      <c r="P69" s="8">
        <f> 0.273</f>
        <v/>
      </c>
    </row>
    <row r="70"/>
    <row r="71">
      <c r="B71" s="6" t="inlineStr">
        <is>
          <t>→ h_t =</t>
        </is>
      </c>
      <c r="D71" s="8" t="n">
        <v>0.3429</v>
      </c>
      <c r="E71" s="8" t="n">
        <v>-0.0528</v>
      </c>
      <c r="F71" s="8" t="n">
        <v>0.273</v>
      </c>
    </row>
    <row r="72"/>
    <row r="73"/>
    <row r="74">
      <c r="B74" s="6" t="inlineStr">
        <is>
          <t>──── t=2: 'you' (ID=5) ────</t>
        </is>
      </c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5" t="n"/>
    </row>
    <row r="75">
      <c r="B75" s="16" t="inlineStr">
        <is>
          <t>e_t =</t>
        </is>
      </c>
      <c r="D75" s="17" t="n">
        <v>-0.2</v>
      </c>
      <c r="E75" s="17" t="n">
        <v>0.4</v>
      </c>
      <c r="F75" s="17" t="n">
        <v>0.3</v>
      </c>
      <c r="G75" s="17" t="n">
        <v>-0.3</v>
      </c>
    </row>
    <row r="76">
      <c r="B76" s="1" t="inlineStr">
        <is>
          <t>h_{t-1} =</t>
        </is>
      </c>
      <c r="D76" s="14" t="n">
        <v>0.3429</v>
      </c>
      <c r="E76" s="14" t="n">
        <v>-0.0528</v>
      </c>
      <c r="F76" s="14" t="n">
        <v>0.273</v>
      </c>
    </row>
    <row r="77"/>
    <row r="78">
      <c r="B78" s="6" t="inlineStr">
        <is>
          <t>① enc_Wxh^T · e_t:</t>
        </is>
      </c>
    </row>
    <row r="79">
      <c r="B79" s="8" t="inlineStr">
        <is>
          <t xml:space="preserve">  [0]</t>
        </is>
      </c>
      <c r="C79">
        <f> (0.2×-0.2) + (0.1×0.4) + (-0.2×0.3) + (0.3×-0.3)</f>
        <v/>
      </c>
      <c r="P79" s="8">
        <f> -0.15</f>
        <v/>
      </c>
    </row>
    <row r="80">
      <c r="B80" s="8" t="inlineStr">
        <is>
          <t xml:space="preserve">  [1]</t>
        </is>
      </c>
      <c r="C80">
        <f> (-0.1×-0.2) + (0.3×0.4) + (0.2×0.3) + (-0.1×-0.3)</f>
        <v/>
      </c>
      <c r="P80" s="8">
        <f> 0.23</f>
        <v/>
      </c>
    </row>
    <row r="81">
      <c r="B81" s="8" t="inlineStr">
        <is>
          <t xml:space="preserve">  [2]</t>
        </is>
      </c>
      <c r="C81">
        <f> (0.3×-0.2) + (-0.2×0.4) + (0.1×0.3) + (0.2×-0.3)</f>
        <v/>
      </c>
      <c r="P81" s="8">
        <f> -0.17</f>
        <v/>
      </c>
    </row>
    <row r="82"/>
    <row r="83">
      <c r="B83" s="6" t="inlineStr">
        <is>
          <t>② enc_Whh^T · h_{t-1}:</t>
        </is>
      </c>
    </row>
    <row r="84">
      <c r="B84" s="8" t="inlineStr">
        <is>
          <t xml:space="preserve">  [0]</t>
        </is>
      </c>
      <c r="C84">
        <f> (0.2×0.3429) + (0.1×-0.0528) + (-0.1×0.273)</f>
        <v/>
      </c>
      <c r="P84" s="8">
        <f> 0.036</f>
        <v/>
      </c>
    </row>
    <row r="85">
      <c r="B85" s="8" t="inlineStr">
        <is>
          <t xml:space="preserve">  [1]</t>
        </is>
      </c>
      <c r="C85">
        <f> (-0.1×0.3429) + (0.3×-0.0528) + (0.2×0.273)</f>
        <v/>
      </c>
      <c r="P85" s="8">
        <f> 0.0045</f>
        <v/>
      </c>
    </row>
    <row r="86">
      <c r="B86" s="8" t="inlineStr">
        <is>
          <t xml:space="preserve">  [2]</t>
        </is>
      </c>
      <c r="C86">
        <f> (0.1×0.3429) + (-0.2×-0.0528) + (0.2×0.273)</f>
        <v/>
      </c>
      <c r="P86" s="8">
        <f> 0.0994</f>
        <v/>
      </c>
    </row>
    <row r="87"/>
    <row r="88">
      <c r="B88" s="18" t="inlineStr">
        <is>
          <t>③ z_h = ① + ② + enc_bh:</t>
        </is>
      </c>
    </row>
    <row r="89">
      <c r="B89" s="19" t="inlineStr">
        <is>
          <t xml:space="preserve">  [0]</t>
        </is>
      </c>
      <c r="C89">
        <f> -0.15 + 0.036 + 0.1</f>
        <v/>
      </c>
      <c r="P89" s="19">
        <f> -0.014</f>
        <v/>
      </c>
    </row>
    <row r="90">
      <c r="B90" s="19" t="inlineStr">
        <is>
          <t xml:space="preserve">  [1]</t>
        </is>
      </c>
      <c r="C90">
        <f> 0.23 + 0.0045 + -0.05</f>
        <v/>
      </c>
      <c r="P90" s="19">
        <f> 0.1845</f>
        <v/>
      </c>
    </row>
    <row r="91">
      <c r="B91" s="19" t="inlineStr">
        <is>
          <t xml:space="preserve">  [2]</t>
        </is>
      </c>
      <c r="C91">
        <f> -0.17 + 0.0994 + 0.05</f>
        <v/>
      </c>
      <c r="P91" s="19">
        <f> -0.0206</f>
        <v/>
      </c>
    </row>
    <row r="92"/>
    <row r="93">
      <c r="B93" s="6" t="inlineStr">
        <is>
          <t>④ h_t = tanh(z_h):</t>
        </is>
      </c>
    </row>
    <row r="94">
      <c r="B94" s="8" t="inlineStr">
        <is>
          <t xml:space="preserve">  [0]</t>
        </is>
      </c>
      <c r="C94">
        <f> tanh(-0.014)</f>
        <v/>
      </c>
      <c r="P94" s="8">
        <f> -0.014</f>
        <v/>
      </c>
    </row>
    <row r="95">
      <c r="B95" s="8" t="inlineStr">
        <is>
          <t xml:space="preserve">  [1]</t>
        </is>
      </c>
      <c r="C95">
        <f> tanh(0.1845)</f>
        <v/>
      </c>
      <c r="P95" s="8">
        <f> 0.1824</f>
        <v/>
      </c>
    </row>
    <row r="96">
      <c r="B96" s="8" t="inlineStr">
        <is>
          <t xml:space="preserve">  [2]</t>
        </is>
      </c>
      <c r="C96">
        <f> tanh(-0.0206)</f>
        <v/>
      </c>
      <c r="P96" s="8">
        <f> -0.0206</f>
        <v/>
      </c>
    </row>
    <row r="97"/>
    <row r="98">
      <c r="B98" s="6" t="inlineStr">
        <is>
          <t>→ h_t =</t>
        </is>
      </c>
      <c r="D98" s="8" t="n">
        <v>-0.014</v>
      </c>
      <c r="E98" s="8" t="n">
        <v>0.1824</v>
      </c>
      <c r="F98" s="8" t="n">
        <v>-0.0206</v>
      </c>
    </row>
    <row r="99"/>
    <row r="100"/>
    <row r="101">
      <c r="B101" s="11" t="inlineStr">
        <is>
          <t>═══ Context Vector (Final Encoder State) ═══</t>
        </is>
      </c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5" t="n"/>
    </row>
    <row r="102"/>
    <row r="103">
      <c r="B103" s="11" t="inlineStr">
        <is>
          <t>context =</t>
        </is>
      </c>
      <c r="D103" s="20" t="n">
        <v>-0.014</v>
      </c>
      <c r="E103" s="20" t="n">
        <v>0.1824</v>
      </c>
      <c r="F103" s="20" t="n">
        <v>-0.0206</v>
      </c>
    </row>
    <row r="104">
      <c r="B104" t="inlineStr">
        <is>
          <t>(This becomes the initial hidden state for Decoder)</t>
        </is>
      </c>
    </row>
  </sheetData>
  <mergeCells count="7">
    <mergeCell ref="B101:T101"/>
    <mergeCell ref="B4:N4"/>
    <mergeCell ref="B2:AH2"/>
    <mergeCell ref="B74:N74"/>
    <mergeCell ref="B18:T18"/>
    <mergeCell ref="B47:N47"/>
    <mergeCell ref="B20:N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146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/>
    <row r="2">
      <c r="B2" s="7" t="inlineStr">
        <is>
          <t>Decoder Forward Pass (Teacher Forcing - Training Mode)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3"/>
    <row r="4">
      <c r="B4" s="21" t="inlineStr">
        <is>
          <t>Teacher Forcing: Use Ground Truth as input at each time step</t>
        </is>
      </c>
    </row>
    <row r="5"/>
    <row r="6">
      <c r="B6" s="11" t="inlineStr">
        <is>
          <t>Initial State (from Encoder):</t>
        </is>
      </c>
    </row>
    <row r="7">
      <c r="B7" s="20" t="inlineStr">
        <is>
          <t>s_0 = context =</t>
        </is>
      </c>
      <c r="E7" s="20" t="n">
        <v>-0.014</v>
      </c>
      <c r="F7" s="20" t="n">
        <v>0.1824</v>
      </c>
      <c r="G7" s="20" t="n">
        <v>-0.0206</v>
      </c>
    </row>
    <row r="8"/>
    <row r="9"/>
    <row r="10">
      <c r="B10" s="7" t="inlineStr">
        <is>
          <t>Decoder Input:</t>
        </is>
      </c>
      <c r="E10" s="22" t="inlineStr">
        <is>
          <t>&lt;SOS&gt; → I → you → love</t>
        </is>
      </c>
    </row>
    <row r="11">
      <c r="B11" s="15" t="inlineStr">
        <is>
          <t>Decoder Target:</t>
        </is>
      </c>
      <c r="E11" s="23" t="inlineStr">
        <is>
          <t>I → you → love → &lt;EOS&gt;</t>
        </is>
      </c>
    </row>
    <row r="12"/>
    <row r="13"/>
    <row r="14">
      <c r="B14" s="7" t="inlineStr">
        <is>
          <t>──── t=0: Input='&lt;SOS&gt;' → Target='I' ────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5" t="n"/>
    </row>
    <row r="15">
      <c r="B15" s="16" t="inlineStr">
        <is>
          <t>e_t ('&lt;SOS&gt;') =</t>
        </is>
      </c>
      <c r="E15" s="17" t="n">
        <v>0.1</v>
      </c>
      <c r="F15" s="17" t="n">
        <v>0.2</v>
      </c>
      <c r="G15" s="17" t="n">
        <v>-0.1</v>
      </c>
      <c r="H15" s="17" t="n">
        <v>0.1</v>
      </c>
    </row>
    <row r="16">
      <c r="B16" s="1" t="inlineStr">
        <is>
          <t>s_{t-1} =</t>
        </is>
      </c>
      <c r="E16" s="14" t="n">
        <v>-0.014</v>
      </c>
      <c r="F16" s="14" t="n">
        <v>0.1824</v>
      </c>
      <c r="G16" s="14" t="n">
        <v>-0.0206</v>
      </c>
    </row>
    <row r="17"/>
    <row r="18">
      <c r="B18" s="7" t="inlineStr">
        <is>
          <t>① dec_Wxh^T · e_t:</t>
        </is>
      </c>
    </row>
    <row r="19">
      <c r="B19" s="9" t="inlineStr">
        <is>
          <t xml:space="preserve">  [0] = -0.0</t>
        </is>
      </c>
    </row>
    <row r="20">
      <c r="B20" s="9" t="inlineStr">
        <is>
          <t xml:space="preserve">  [1] = 0.03</t>
        </is>
      </c>
    </row>
    <row r="21">
      <c r="B21" s="9" t="inlineStr">
        <is>
          <t xml:space="preserve">  [2] = 0.12</t>
        </is>
      </c>
    </row>
    <row r="22"/>
    <row r="23">
      <c r="B23" s="7" t="inlineStr">
        <is>
          <t>② dec_Whh^T · s_{t-1}:</t>
        </is>
      </c>
    </row>
    <row r="24">
      <c r="B24" s="9" t="inlineStr">
        <is>
          <t xml:space="preserve">  [0] = 0.0182</t>
        </is>
      </c>
    </row>
    <row r="25">
      <c r="B25" s="9" t="inlineStr">
        <is>
          <t xml:space="preserve">  [1] = 0.0358</t>
        </is>
      </c>
    </row>
    <row r="26">
      <c r="B26" s="9" t="inlineStr">
        <is>
          <t xml:space="preserve">  [2] = -0.0272</t>
        </is>
      </c>
    </row>
    <row r="27"/>
    <row r="28">
      <c r="B28" s="18" t="inlineStr">
        <is>
          <t>③ z_h = ① + ② + dec_bh:</t>
        </is>
      </c>
    </row>
    <row r="29">
      <c r="B29" s="19" t="inlineStr">
        <is>
          <t xml:space="preserve">  [0] = 0.0682</t>
        </is>
      </c>
    </row>
    <row r="30">
      <c r="B30" s="19" t="inlineStr">
        <is>
          <t xml:space="preserve">  [1] = 0.1658</t>
        </is>
      </c>
    </row>
    <row r="31">
      <c r="B31" s="19" t="inlineStr">
        <is>
          <t xml:space="preserve">  [2] = 0.0428</t>
        </is>
      </c>
    </row>
    <row r="32"/>
    <row r="33">
      <c r="B33" s="7" t="inlineStr">
        <is>
          <t>④ s_t = tanh(z_h):</t>
        </is>
      </c>
      <c r="E33" s="9" t="n">
        <v>0.068</v>
      </c>
      <c r="F33" s="9" t="n">
        <v>0.1643</v>
      </c>
      <c r="G33" s="9" t="n">
        <v>0.0428</v>
      </c>
    </row>
    <row r="34"/>
    <row r="35">
      <c r="B35" s="15" t="inlineStr">
        <is>
          <t>⑤ Output Probabilities (softmax):</t>
        </is>
      </c>
    </row>
    <row r="36">
      <c r="B36" s="14" t="inlineStr">
        <is>
          <t>&lt;PAD&gt;</t>
        </is>
      </c>
      <c r="D36" s="24" t="n">
        <v>0.1748</v>
      </c>
    </row>
    <row r="37">
      <c r="B37" s="14" t="inlineStr">
        <is>
          <t>&lt;SOS&gt;</t>
        </is>
      </c>
      <c r="D37" s="24" t="n">
        <v>0.1739</v>
      </c>
    </row>
    <row r="38">
      <c r="B38" s="14" t="inlineStr">
        <is>
          <t>&lt;EOS&gt;</t>
        </is>
      </c>
      <c r="D38" s="24" t="n">
        <v>0.145</v>
      </c>
    </row>
    <row r="39">
      <c r="B39" s="14" t="inlineStr">
        <is>
          <t>I</t>
        </is>
      </c>
      <c r="D39" s="25" t="n">
        <v>0.1757</v>
      </c>
      <c r="F39" s="26" t="inlineStr">
        <is>
          <t>← Target</t>
        </is>
      </c>
    </row>
    <row r="40">
      <c r="B40" s="14" t="inlineStr">
        <is>
          <t>you</t>
        </is>
      </c>
      <c r="D40" s="24" t="n">
        <v>0.1591</v>
      </c>
    </row>
    <row r="41">
      <c r="B41" s="14" t="inlineStr">
        <is>
          <t>love</t>
        </is>
      </c>
      <c r="D41" s="24" t="n">
        <v>0.1715</v>
      </c>
    </row>
    <row r="42"/>
    <row r="43">
      <c r="B43" s="27" t="inlineStr">
        <is>
          <t>Prediction: 'I' ✓</t>
        </is>
      </c>
    </row>
    <row r="44">
      <c r="B44" s="12" t="inlineStr">
        <is>
          <t>Loss = -log(0.1757) = 1.7387</t>
        </is>
      </c>
    </row>
    <row r="45"/>
    <row r="46"/>
    <row r="47">
      <c r="B47" s="7" t="inlineStr">
        <is>
          <t>──── t=1: Input='I' → Target='you' ────</t>
        </is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5" t="n"/>
    </row>
    <row r="48">
      <c r="B48" s="16" t="inlineStr">
        <is>
          <t>e_t ('I') =</t>
        </is>
      </c>
      <c r="E48" s="17" t="n">
        <v>0.4</v>
      </c>
      <c r="F48" s="17" t="n">
        <v>0.1</v>
      </c>
      <c r="G48" s="17" t="n">
        <v>-0.2</v>
      </c>
      <c r="H48" s="17" t="n">
        <v>0.3</v>
      </c>
    </row>
    <row r="49">
      <c r="B49" s="1" t="inlineStr">
        <is>
          <t>s_{t-1} =</t>
        </is>
      </c>
      <c r="E49" s="14" t="n">
        <v>0.068</v>
      </c>
      <c r="F49" s="14" t="n">
        <v>0.1643</v>
      </c>
      <c r="G49" s="14" t="n">
        <v>0.0428</v>
      </c>
    </row>
    <row r="50"/>
    <row r="51">
      <c r="B51" s="7" t="inlineStr">
        <is>
          <t>① dec_Wxh^T · e_t:</t>
        </is>
      </c>
    </row>
    <row r="52">
      <c r="B52" s="9" t="inlineStr">
        <is>
          <t xml:space="preserve">  [0] = 0.1</t>
        </is>
      </c>
    </row>
    <row r="53">
      <c r="B53" s="9" t="inlineStr">
        <is>
          <t xml:space="preserve">  [1] = -0.12</t>
        </is>
      </c>
    </row>
    <row r="54">
      <c r="B54" s="9" t="inlineStr">
        <is>
          <t xml:space="preserve">  [2] = 0.24</t>
        </is>
      </c>
    </row>
    <row r="55"/>
    <row r="56">
      <c r="B56" s="7" t="inlineStr">
        <is>
          <t>② dec_Whh^T · s_{t-1}:</t>
        </is>
      </c>
    </row>
    <row r="57">
      <c r="B57" s="9" t="inlineStr">
        <is>
          <t xml:space="preserve">  [0] = 0.0283</t>
        </is>
      </c>
    </row>
    <row r="58">
      <c r="B58" s="9" t="inlineStr">
        <is>
          <t xml:space="preserve">  [1] = 0.0303</t>
        </is>
      </c>
    </row>
    <row r="59">
      <c r="B59" s="9" t="inlineStr">
        <is>
          <t xml:space="preserve">  [2] = 0.01</t>
        </is>
      </c>
    </row>
    <row r="60"/>
    <row r="61">
      <c r="B61" s="18" t="inlineStr">
        <is>
          <t>③ z_h = ① + ② + dec_bh:</t>
        </is>
      </c>
    </row>
    <row r="62">
      <c r="B62" s="19" t="inlineStr">
        <is>
          <t xml:space="preserve">  [0] = 0.1783</t>
        </is>
      </c>
    </row>
    <row r="63">
      <c r="B63" s="19" t="inlineStr">
        <is>
          <t xml:space="preserve">  [1] = 0.0103</t>
        </is>
      </c>
    </row>
    <row r="64">
      <c r="B64" s="19" t="inlineStr">
        <is>
          <t xml:space="preserve">  [2] = 0.2</t>
        </is>
      </c>
    </row>
    <row r="65"/>
    <row r="66">
      <c r="B66" s="7" t="inlineStr">
        <is>
          <t>④ s_t = tanh(z_h):</t>
        </is>
      </c>
      <c r="E66" s="9" t="n">
        <v>0.1764</v>
      </c>
      <c r="F66" s="9" t="n">
        <v>0.0103</v>
      </c>
      <c r="G66" s="9" t="n">
        <v>0.1974</v>
      </c>
    </row>
    <row r="67"/>
    <row r="68">
      <c r="B68" s="15" t="inlineStr">
        <is>
          <t>⑤ Output Probabilities (softmax):</t>
        </is>
      </c>
    </row>
    <row r="69">
      <c r="B69" s="14" t="inlineStr">
        <is>
          <t>&lt;PAD&gt;</t>
        </is>
      </c>
      <c r="D69" s="24" t="n">
        <v>0.194</v>
      </c>
    </row>
    <row r="70">
      <c r="B70" s="14" t="inlineStr">
        <is>
          <t>&lt;SOS&gt;</t>
        </is>
      </c>
      <c r="D70" s="24" t="n">
        <v>0.1626</v>
      </c>
    </row>
    <row r="71">
      <c r="B71" s="14" t="inlineStr">
        <is>
          <t>&lt;EOS&gt;</t>
        </is>
      </c>
      <c r="D71" s="24" t="n">
        <v>0.1462</v>
      </c>
    </row>
    <row r="72">
      <c r="B72" s="14" t="inlineStr">
        <is>
          <t>I</t>
        </is>
      </c>
      <c r="D72" s="24" t="n">
        <v>0.1871</v>
      </c>
    </row>
    <row r="73">
      <c r="B73" s="14" t="inlineStr">
        <is>
          <t>you</t>
        </is>
      </c>
      <c r="D73" s="25" t="n">
        <v>0.1479</v>
      </c>
      <c r="F73" s="26" t="inlineStr">
        <is>
          <t>← Target</t>
        </is>
      </c>
    </row>
    <row r="74">
      <c r="B74" s="14" t="inlineStr">
        <is>
          <t>love</t>
        </is>
      </c>
      <c r="D74" s="24" t="n">
        <v>0.1621</v>
      </c>
    </row>
    <row r="75"/>
    <row r="76">
      <c r="B76" s="27" t="inlineStr">
        <is>
          <t>Prediction: '&lt;PAD&gt;' ✗</t>
        </is>
      </c>
    </row>
    <row r="77">
      <c r="B77" s="12" t="inlineStr">
        <is>
          <t>Loss = -log(0.1479) = 1.9112</t>
        </is>
      </c>
    </row>
    <row r="78"/>
    <row r="79"/>
    <row r="80">
      <c r="B80" s="7" t="inlineStr">
        <is>
          <t>──── t=2: Input='you' → Target='love' ────</t>
        </is>
      </c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5" t="n"/>
    </row>
    <row r="81">
      <c r="B81" s="16" t="inlineStr">
        <is>
          <t>e_t ('you') =</t>
        </is>
      </c>
      <c r="E81" s="17" t="n">
        <v>-0.1</v>
      </c>
      <c r="F81" s="17" t="n">
        <v>0.5</v>
      </c>
      <c r="G81" s="17" t="n">
        <v>0.2</v>
      </c>
      <c r="H81" s="17" t="n">
        <v>-0.2</v>
      </c>
    </row>
    <row r="82">
      <c r="B82" s="1" t="inlineStr">
        <is>
          <t>s_{t-1} =</t>
        </is>
      </c>
      <c r="E82" s="14" t="n">
        <v>0.1764</v>
      </c>
      <c r="F82" s="14" t="n">
        <v>0.0103</v>
      </c>
      <c r="G82" s="14" t="n">
        <v>0.1974</v>
      </c>
    </row>
    <row r="83"/>
    <row r="84">
      <c r="B84" s="7" t="inlineStr">
        <is>
          <t>① dec_Wxh^T · e_t:</t>
        </is>
      </c>
    </row>
    <row r="85">
      <c r="B85" s="9" t="inlineStr">
        <is>
          <t xml:space="preserve">  [0] = -0.06</t>
        </is>
      </c>
    </row>
    <row r="86">
      <c r="B86" s="9" t="inlineStr">
        <is>
          <t xml:space="preserve">  [1] = 0.28</t>
        </is>
      </c>
    </row>
    <row r="87">
      <c r="B87" s="9" t="inlineStr">
        <is>
          <t xml:space="preserve">  [2] = -0.05</t>
        </is>
      </c>
    </row>
    <row r="88"/>
    <row r="89">
      <c r="B89" s="7" t="inlineStr">
        <is>
          <t>② dec_Whh^T · s_{t-1}:</t>
        </is>
      </c>
    </row>
    <row r="90">
      <c r="B90" s="9" t="inlineStr">
        <is>
          <t xml:space="preserve">  [0] = 0.0145</t>
        </is>
      </c>
    </row>
    <row r="91">
      <c r="B91" s="9" t="inlineStr">
        <is>
          <t xml:space="preserve">  [1] = 0.0042</t>
        </is>
      </c>
    </row>
    <row r="92">
      <c r="B92" s="9" t="inlineStr">
        <is>
          <t xml:space="preserve">  [2] = 0.0935</t>
        </is>
      </c>
    </row>
    <row r="93"/>
    <row r="94">
      <c r="B94" s="18" t="inlineStr">
        <is>
          <t>③ z_h = ① + ② + dec_bh:</t>
        </is>
      </c>
    </row>
    <row r="95">
      <c r="B95" s="19" t="inlineStr">
        <is>
          <t xml:space="preserve">  [0] = 0.0045</t>
        </is>
      </c>
    </row>
    <row r="96">
      <c r="B96" s="19" t="inlineStr">
        <is>
          <t xml:space="preserve">  [1] = 0.3842</t>
        </is>
      </c>
    </row>
    <row r="97">
      <c r="B97" s="19" t="inlineStr">
        <is>
          <t xml:space="preserve">  [2] = -0.0065</t>
        </is>
      </c>
    </row>
    <row r="98"/>
    <row r="99">
      <c r="B99" s="7" t="inlineStr">
        <is>
          <t>④ s_t = tanh(z_h):</t>
        </is>
      </c>
      <c r="E99" s="9" t="n">
        <v>0.0045</v>
      </c>
      <c r="F99" s="9" t="n">
        <v>0.3663</v>
      </c>
      <c r="G99" s="9" t="n">
        <v>-0.0065</v>
      </c>
    </row>
    <row r="100"/>
    <row r="101">
      <c r="B101" s="15" t="inlineStr">
        <is>
          <t>⑤ Output Probabilities (softmax):</t>
        </is>
      </c>
    </row>
    <row r="102">
      <c r="B102" s="14" t="inlineStr">
        <is>
          <t>&lt;PAD&gt;</t>
        </is>
      </c>
      <c r="D102" s="24" t="n">
        <v>0.1596</v>
      </c>
    </row>
    <row r="103">
      <c r="B103" s="14" t="inlineStr">
        <is>
          <t>&lt;SOS&gt;</t>
        </is>
      </c>
      <c r="D103" s="24" t="n">
        <v>0.1825</v>
      </c>
    </row>
    <row r="104">
      <c r="B104" s="14" t="inlineStr">
        <is>
          <t>&lt;EOS&gt;</t>
        </is>
      </c>
      <c r="D104" s="24" t="n">
        <v>0.1453</v>
      </c>
    </row>
    <row r="105">
      <c r="B105" s="14" t="inlineStr">
        <is>
          <t>I</t>
        </is>
      </c>
      <c r="D105" s="24" t="n">
        <v>0.1655</v>
      </c>
    </row>
    <row r="106">
      <c r="B106" s="14" t="inlineStr">
        <is>
          <t>you</t>
        </is>
      </c>
      <c r="D106" s="24" t="n">
        <v>0.1709</v>
      </c>
    </row>
    <row r="107">
      <c r="B107" s="14" t="inlineStr">
        <is>
          <t>love</t>
        </is>
      </c>
      <c r="D107" s="25" t="n">
        <v>0.1761</v>
      </c>
      <c r="F107" s="26" t="inlineStr">
        <is>
          <t>← Target</t>
        </is>
      </c>
    </row>
    <row r="108"/>
    <row r="109">
      <c r="B109" s="27" t="inlineStr">
        <is>
          <t>Prediction: '&lt;SOS&gt;' ✗</t>
        </is>
      </c>
    </row>
    <row r="110">
      <c r="B110" s="12" t="inlineStr">
        <is>
          <t>Loss = -log(0.1761) = 1.7365</t>
        </is>
      </c>
    </row>
    <row r="111"/>
    <row r="112"/>
    <row r="113">
      <c r="B113" s="7" t="inlineStr">
        <is>
          <t>──── t=3: Input='love' → Target='&lt;EOS&gt;' ────</t>
        </is>
      </c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5" t="n"/>
    </row>
    <row r="114">
      <c r="B114" s="16" t="inlineStr">
        <is>
          <t>e_t ('love') =</t>
        </is>
      </c>
      <c r="E114" s="17" t="n">
        <v>0.3</v>
      </c>
      <c r="F114" s="17" t="n">
        <v>-0.3</v>
      </c>
      <c r="G114" s="17" t="n">
        <v>0.4</v>
      </c>
      <c r="H114" s="17" t="n">
        <v>0.5</v>
      </c>
    </row>
    <row r="115">
      <c r="B115" s="1" t="inlineStr">
        <is>
          <t>s_{t-1} =</t>
        </is>
      </c>
      <c r="E115" s="14" t="n">
        <v>0.0045</v>
      </c>
      <c r="F115" s="14" t="n">
        <v>0.3663</v>
      </c>
      <c r="G115" s="14" t="n">
        <v>-0.0065</v>
      </c>
    </row>
    <row r="116"/>
    <row r="117">
      <c r="B117" s="7" t="inlineStr">
        <is>
          <t>① dec_Wxh^T · e_t:</t>
        </is>
      </c>
    </row>
    <row r="118">
      <c r="B118" s="9" t="inlineStr">
        <is>
          <t xml:space="preserve">  [0] = 0.25</t>
        </is>
      </c>
    </row>
    <row r="119">
      <c r="B119" s="9" t="inlineStr">
        <is>
          <t xml:space="preserve">  [1] = -0.24</t>
        </is>
      </c>
    </row>
    <row r="120">
      <c r="B120" s="9" t="inlineStr">
        <is>
          <t xml:space="preserve">  [2] = 0.05</t>
        </is>
      </c>
    </row>
    <row r="121"/>
    <row r="122">
      <c r="B122" s="7" t="inlineStr">
        <is>
          <t>② dec_Whh^T · s_{t-1}:</t>
        </is>
      </c>
    </row>
    <row r="123">
      <c r="B123" s="9" t="inlineStr">
        <is>
          <t xml:space="preserve">  [0] = 0.0393</t>
        </is>
      </c>
    </row>
    <row r="124">
      <c r="B124" s="9" t="inlineStr">
        <is>
          <t xml:space="preserve">  [1] = 0.0722</t>
        </is>
      </c>
    </row>
    <row r="125">
      <c r="B125" s="9" t="inlineStr">
        <is>
          <t xml:space="preserve">  [2] = -0.0377</t>
        </is>
      </c>
    </row>
    <row r="126"/>
    <row r="127">
      <c r="B127" s="18" t="inlineStr">
        <is>
          <t>③ z_h = ① + ② + dec_bh:</t>
        </is>
      </c>
    </row>
    <row r="128">
      <c r="B128" s="19" t="inlineStr">
        <is>
          <t xml:space="preserve">  [0] = 0.3393</t>
        </is>
      </c>
    </row>
    <row r="129">
      <c r="B129" s="19" t="inlineStr">
        <is>
          <t xml:space="preserve">  [1] = -0.0678</t>
        </is>
      </c>
    </row>
    <row r="130">
      <c r="B130" s="19" t="inlineStr">
        <is>
          <t xml:space="preserve">  [2] = -0.0377</t>
        </is>
      </c>
    </row>
    <row r="131"/>
    <row r="132">
      <c r="B132" s="7" t="inlineStr">
        <is>
          <t>④ s_t = tanh(z_h):</t>
        </is>
      </c>
      <c r="E132" s="9" t="n">
        <v>0.3268</v>
      </c>
      <c r="F132" s="9" t="n">
        <v>-0.0677</v>
      </c>
      <c r="G132" s="9" t="n">
        <v>-0.0377</v>
      </c>
    </row>
    <row r="133"/>
    <row r="134">
      <c r="B134" s="15" t="inlineStr">
        <is>
          <t>⑤ Output Probabilities (softmax):</t>
        </is>
      </c>
    </row>
    <row r="135">
      <c r="B135" s="14" t="inlineStr">
        <is>
          <t>&lt;PAD&gt;</t>
        </is>
      </c>
      <c r="D135" s="24" t="n">
        <v>0.1977</v>
      </c>
    </row>
    <row r="136">
      <c r="B136" s="14" t="inlineStr">
        <is>
          <t>&lt;SOS&gt;</t>
        </is>
      </c>
      <c r="D136" s="24" t="n">
        <v>0.1673</v>
      </c>
    </row>
    <row r="137">
      <c r="B137" s="14" t="inlineStr">
        <is>
          <t>&lt;EOS&gt;</t>
        </is>
      </c>
      <c r="D137" s="25" t="n">
        <v>0.1299</v>
      </c>
      <c r="F137" s="26" t="inlineStr">
        <is>
          <t>← Target</t>
        </is>
      </c>
    </row>
    <row r="138">
      <c r="B138" s="14" t="inlineStr">
        <is>
          <t>I</t>
        </is>
      </c>
      <c r="D138" s="24" t="n">
        <v>0.1907</v>
      </c>
    </row>
    <row r="139">
      <c r="B139" s="14" t="inlineStr">
        <is>
          <t>you</t>
        </is>
      </c>
      <c r="D139" s="24" t="n">
        <v>0.1398</v>
      </c>
    </row>
    <row r="140">
      <c r="B140" s="14" t="inlineStr">
        <is>
          <t>love</t>
        </is>
      </c>
      <c r="D140" s="24" t="n">
        <v>0.1747</v>
      </c>
    </row>
    <row r="141"/>
    <row r="142">
      <c r="B142" s="27" t="inlineStr">
        <is>
          <t>Prediction: '&lt;PAD&gt;' ✗</t>
        </is>
      </c>
    </row>
    <row r="143">
      <c r="B143" s="12" t="inlineStr">
        <is>
          <t>Loss = -log(0.1299) = 2.0414</t>
        </is>
      </c>
    </row>
    <row r="144"/>
    <row r="145"/>
    <row r="146">
      <c r="B146" s="15" t="inlineStr">
        <is>
          <t>═══ Average Loss = 1.8569 ═══</t>
        </is>
      </c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5" t="n"/>
    </row>
  </sheetData>
  <mergeCells count="6">
    <mergeCell ref="B80:T80"/>
    <mergeCell ref="B146:N146"/>
    <mergeCell ref="B14:T14"/>
    <mergeCell ref="B2:AH2"/>
    <mergeCell ref="B113:T113"/>
    <mergeCell ref="B47:T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/>
    <row r="2">
      <c r="B2" s="7" t="inlineStr">
        <is>
          <t>Decoder Forward Pass (Autoregressive - Inference Mode)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3"/>
    <row r="4">
      <c r="B4" s="28" t="inlineStr">
        <is>
          <t>Autoregressive: Use previous prediction as input at each time step</t>
        </is>
      </c>
    </row>
    <row r="5"/>
    <row r="6">
      <c r="B6" s="11" t="inlineStr">
        <is>
          <t>Initial State (from Encoder):</t>
        </is>
      </c>
    </row>
    <row r="7">
      <c r="B7" s="20" t="inlineStr">
        <is>
          <t>s_0 = context =</t>
        </is>
      </c>
      <c r="E7" s="20" t="n">
        <v>-0.014</v>
      </c>
      <c r="F7" s="20" t="n">
        <v>0.1824</v>
      </c>
      <c r="G7" s="20" t="n">
        <v>-0.0206</v>
      </c>
    </row>
    <row r="8"/>
    <row r="9">
      <c r="B9" s="7" t="inlineStr">
        <is>
          <t>Initial Input: &lt;SOS&gt;</t>
        </is>
      </c>
    </row>
    <row r="10"/>
    <row r="11"/>
    <row r="12">
      <c r="B12" s="7" t="inlineStr">
        <is>
          <t>──── t=0: Input='&lt;SOS&gt;' (&lt;SOS&gt;) ────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5" t="n"/>
    </row>
    <row r="13">
      <c r="B13" s="12" t="inlineStr">
        <is>
          <t>Target: 'I'</t>
        </is>
      </c>
    </row>
    <row r="14"/>
    <row r="15">
      <c r="B15" s="16" t="inlineStr">
        <is>
          <t>e_t ('&lt;SOS&gt;') =</t>
        </is>
      </c>
      <c r="E15" s="17" t="n">
        <v>0.1</v>
      </c>
      <c r="F15" s="17" t="n">
        <v>0.2</v>
      </c>
      <c r="G15" s="17" t="n">
        <v>-0.1</v>
      </c>
      <c r="H15" s="17" t="n">
        <v>0.1</v>
      </c>
    </row>
    <row r="16">
      <c r="B16" s="1" t="inlineStr">
        <is>
          <t>s_{t-1} =</t>
        </is>
      </c>
      <c r="E16" s="14" t="n">
        <v>-0.014</v>
      </c>
      <c r="F16" s="14" t="n">
        <v>0.1824</v>
      </c>
      <c r="G16" s="14" t="n">
        <v>-0.0206</v>
      </c>
    </row>
    <row r="17"/>
    <row r="18">
      <c r="B18" s="7" t="inlineStr">
        <is>
          <t>s_t = tanh(dec_Wxh^T·e_t + dec_Whh^T·s_{t-1} + dec_bh):</t>
        </is>
      </c>
    </row>
    <row r="19">
      <c r="B19" s="9" t="inlineStr">
        <is>
          <t>s_t =</t>
        </is>
      </c>
      <c r="D19" s="9" t="n">
        <v>0.068</v>
      </c>
      <c r="E19" s="9" t="n">
        <v>0.1643</v>
      </c>
      <c r="F19" s="9" t="n">
        <v>0.0428</v>
      </c>
    </row>
    <row r="20"/>
    <row r="21">
      <c r="B21" s="15" t="inlineStr">
        <is>
          <t>Output Probabilities:</t>
        </is>
      </c>
    </row>
    <row r="22">
      <c r="B22" s="14" t="inlineStr">
        <is>
          <t>&lt;PAD&gt;</t>
        </is>
      </c>
      <c r="D22" s="24" t="n">
        <v>0.1748</v>
      </c>
    </row>
    <row r="23">
      <c r="B23" s="14" t="inlineStr">
        <is>
          <t>&lt;SOS&gt;</t>
        </is>
      </c>
      <c r="D23" s="24" t="n">
        <v>0.1739</v>
      </c>
    </row>
    <row r="24">
      <c r="B24" s="14" t="inlineStr">
        <is>
          <t>&lt;EOS&gt;</t>
        </is>
      </c>
      <c r="D24" s="24" t="n">
        <v>0.145</v>
      </c>
    </row>
    <row r="25">
      <c r="B25" s="14" t="inlineStr">
        <is>
          <t>I</t>
        </is>
      </c>
      <c r="D25" s="25" t="n">
        <v>0.1757</v>
      </c>
      <c r="F25" s="29" t="inlineStr">
        <is>
          <t>← Predicted (argmax)</t>
        </is>
      </c>
    </row>
    <row r="26">
      <c r="B26" s="14" t="inlineStr">
        <is>
          <t>you</t>
        </is>
      </c>
      <c r="D26" s="24" t="n">
        <v>0.1591</v>
      </c>
    </row>
    <row r="27">
      <c r="B27" s="14" t="inlineStr">
        <is>
          <t>love</t>
        </is>
      </c>
      <c r="D27" s="24" t="n">
        <v>0.1715</v>
      </c>
    </row>
    <row r="28"/>
    <row r="29">
      <c r="B29" s="27" t="inlineStr">
        <is>
          <t>Prediction: 'I' ✓</t>
        </is>
      </c>
    </row>
    <row r="30">
      <c r="B30" s="30" t="inlineStr">
        <is>
          <t>→ Next Input: 'I'</t>
        </is>
      </c>
    </row>
    <row r="31"/>
    <row r="32"/>
    <row r="33">
      <c r="B33" s="7" t="inlineStr">
        <is>
          <t>──── t=1: Input='I' (Previous Prediction) ────</t>
        </is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5" t="n"/>
    </row>
    <row r="34">
      <c r="B34" s="12" t="inlineStr">
        <is>
          <t>Target: 'you'</t>
        </is>
      </c>
    </row>
    <row r="35"/>
    <row r="36">
      <c r="B36" s="16" t="inlineStr">
        <is>
          <t>e_t ('I') =</t>
        </is>
      </c>
      <c r="E36" s="17" t="n">
        <v>0.4</v>
      </c>
      <c r="F36" s="17" t="n">
        <v>0.1</v>
      </c>
      <c r="G36" s="17" t="n">
        <v>-0.2</v>
      </c>
      <c r="H36" s="17" t="n">
        <v>0.3</v>
      </c>
    </row>
    <row r="37">
      <c r="B37" s="1" t="inlineStr">
        <is>
          <t>s_{t-1} =</t>
        </is>
      </c>
      <c r="E37" s="14" t="n">
        <v>0.068</v>
      </c>
      <c r="F37" s="14" t="n">
        <v>0.1643</v>
      </c>
      <c r="G37" s="14" t="n">
        <v>0.0428</v>
      </c>
    </row>
    <row r="38"/>
    <row r="39">
      <c r="B39" s="7" t="inlineStr">
        <is>
          <t>s_t = tanh(dec_Wxh^T·e_t + dec_Whh^T·s_{t-1} + dec_bh):</t>
        </is>
      </c>
    </row>
    <row r="40">
      <c r="B40" s="9" t="inlineStr">
        <is>
          <t>s_t =</t>
        </is>
      </c>
      <c r="D40" s="9" t="n">
        <v>0.1764</v>
      </c>
      <c r="E40" s="9" t="n">
        <v>0.0103</v>
      </c>
      <c r="F40" s="9" t="n">
        <v>0.1974</v>
      </c>
    </row>
    <row r="41"/>
    <row r="42">
      <c r="B42" s="15" t="inlineStr">
        <is>
          <t>Output Probabilities:</t>
        </is>
      </c>
    </row>
    <row r="43">
      <c r="B43" s="14" t="inlineStr">
        <is>
          <t>&lt;PAD&gt;</t>
        </is>
      </c>
      <c r="D43" s="25" t="n">
        <v>0.194</v>
      </c>
      <c r="F43" s="29" t="inlineStr">
        <is>
          <t>← Predicted (argmax)</t>
        </is>
      </c>
    </row>
    <row r="44">
      <c r="B44" s="14" t="inlineStr">
        <is>
          <t>&lt;SOS&gt;</t>
        </is>
      </c>
      <c r="D44" s="24" t="n">
        <v>0.1626</v>
      </c>
    </row>
    <row r="45">
      <c r="B45" s="14" t="inlineStr">
        <is>
          <t>&lt;EOS&gt;</t>
        </is>
      </c>
      <c r="D45" s="24" t="n">
        <v>0.1462</v>
      </c>
    </row>
    <row r="46">
      <c r="B46" s="14" t="inlineStr">
        <is>
          <t>I</t>
        </is>
      </c>
      <c r="D46" s="24" t="n">
        <v>0.1871</v>
      </c>
    </row>
    <row r="47">
      <c r="B47" s="14" t="inlineStr">
        <is>
          <t>you</t>
        </is>
      </c>
      <c r="D47" s="24" t="n">
        <v>0.1479</v>
      </c>
    </row>
    <row r="48">
      <c r="B48" s="14" t="inlineStr">
        <is>
          <t>love</t>
        </is>
      </c>
      <c r="D48" s="24" t="n">
        <v>0.1621</v>
      </c>
    </row>
    <row r="49"/>
    <row r="50">
      <c r="B50" s="27" t="inlineStr">
        <is>
          <t>Prediction: '&lt;PAD&gt;' ✗</t>
        </is>
      </c>
    </row>
    <row r="51">
      <c r="B51" s="30" t="inlineStr">
        <is>
          <t>→ Next Input: '&lt;PAD&gt;'</t>
        </is>
      </c>
    </row>
    <row r="52"/>
    <row r="53"/>
    <row r="54">
      <c r="B54" s="7" t="inlineStr">
        <is>
          <t>──── t=2: Input='&lt;PAD&gt;' (Previous Prediction) ────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5" t="n"/>
    </row>
    <row r="55">
      <c r="B55" s="12" t="inlineStr">
        <is>
          <t>Target: 'love'</t>
        </is>
      </c>
    </row>
    <row r="56"/>
    <row r="57">
      <c r="B57" s="16" t="inlineStr">
        <is>
          <t>e_t ('&lt;PAD&gt;') =</t>
        </is>
      </c>
      <c r="E57" s="17" t="n">
        <v>0</v>
      </c>
      <c r="F57" s="17" t="n">
        <v>0</v>
      </c>
      <c r="G57" s="17" t="n">
        <v>0</v>
      </c>
      <c r="H57" s="17" t="n">
        <v>0</v>
      </c>
    </row>
    <row r="58">
      <c r="B58" s="1" t="inlineStr">
        <is>
          <t>s_{t-1} =</t>
        </is>
      </c>
      <c r="E58" s="14" t="n">
        <v>0.1764</v>
      </c>
      <c r="F58" s="14" t="n">
        <v>0.0103</v>
      </c>
      <c r="G58" s="14" t="n">
        <v>0.1974</v>
      </c>
    </row>
    <row r="59"/>
    <row r="60">
      <c r="B60" s="7" t="inlineStr">
        <is>
          <t>s_t = tanh(dec_Wxh^T·e_t + dec_Whh^T·s_{t-1} + dec_bh):</t>
        </is>
      </c>
    </row>
    <row r="61">
      <c r="B61" s="9" t="inlineStr">
        <is>
          <t>s_t =</t>
        </is>
      </c>
      <c r="D61" s="9" t="n">
        <v>0.0644</v>
      </c>
      <c r="E61" s="9" t="n">
        <v>0.1038</v>
      </c>
      <c r="F61" s="9" t="n">
        <v>0.0434</v>
      </c>
    </row>
    <row r="62"/>
    <row r="63">
      <c r="B63" s="15" t="inlineStr">
        <is>
          <t>Output Probabilities:</t>
        </is>
      </c>
    </row>
    <row r="64">
      <c r="B64" s="14" t="inlineStr">
        <is>
          <t>&lt;PAD&gt;</t>
        </is>
      </c>
      <c r="D64" s="25" t="n">
        <v>0.178</v>
      </c>
      <c r="F64" s="29" t="inlineStr">
        <is>
          <t>← Predicted (argmax)</t>
        </is>
      </c>
    </row>
    <row r="65">
      <c r="B65" s="14" t="inlineStr">
        <is>
          <t>&lt;SOS&gt;</t>
        </is>
      </c>
      <c r="D65" s="24" t="n">
        <v>0.1719</v>
      </c>
    </row>
    <row r="66">
      <c r="B66" s="14" t="inlineStr">
        <is>
          <t>&lt;EOS&gt;</t>
        </is>
      </c>
      <c r="D66" s="24" t="n">
        <v>0.1453</v>
      </c>
    </row>
    <row r="67">
      <c r="B67" s="14" t="inlineStr">
        <is>
          <t>I</t>
        </is>
      </c>
      <c r="D67" s="24" t="n">
        <v>0.1779</v>
      </c>
    </row>
    <row r="68">
      <c r="B68" s="14" t="inlineStr">
        <is>
          <t>you</t>
        </is>
      </c>
      <c r="D68" s="24" t="n">
        <v>0.1565</v>
      </c>
    </row>
    <row r="69">
      <c r="B69" s="14" t="inlineStr">
        <is>
          <t>love</t>
        </is>
      </c>
      <c r="D69" s="24" t="n">
        <v>0.1705</v>
      </c>
    </row>
    <row r="70"/>
    <row r="71">
      <c r="B71" s="27" t="inlineStr">
        <is>
          <t>Prediction: '&lt;PAD&gt;' ✗</t>
        </is>
      </c>
    </row>
    <row r="72">
      <c r="B72" s="30" t="inlineStr">
        <is>
          <t>→ Next Input: '&lt;PAD&gt;'</t>
        </is>
      </c>
    </row>
    <row r="73"/>
    <row r="74"/>
    <row r="75">
      <c r="B75" s="7" t="inlineStr">
        <is>
          <t>──── t=3: Input='&lt;PAD&gt;' (Previous Prediction) ────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5" t="n"/>
    </row>
    <row r="76">
      <c r="B76" s="12" t="inlineStr">
        <is>
          <t>Target: '&lt;EOS&gt;'</t>
        </is>
      </c>
    </row>
    <row r="77"/>
    <row r="78">
      <c r="B78" s="16" t="inlineStr">
        <is>
          <t>e_t ('&lt;PAD&gt;') =</t>
        </is>
      </c>
      <c r="E78" s="17" t="n">
        <v>0</v>
      </c>
      <c r="F78" s="17" t="n">
        <v>0</v>
      </c>
      <c r="G78" s="17" t="n">
        <v>0</v>
      </c>
      <c r="H78" s="17" t="n">
        <v>0</v>
      </c>
    </row>
    <row r="79">
      <c r="B79" s="1" t="inlineStr">
        <is>
          <t>s_{t-1} =</t>
        </is>
      </c>
      <c r="E79" s="14" t="n">
        <v>0.0644</v>
      </c>
      <c r="F79" s="14" t="n">
        <v>0.1038</v>
      </c>
      <c r="G79" s="14" t="n">
        <v>0.0434</v>
      </c>
    </row>
    <row r="80"/>
    <row r="81">
      <c r="B81" s="7" t="inlineStr">
        <is>
          <t>s_t = tanh(dec_Wxh^T·e_t + dec_Whh^T·s_{t-1} + dec_bh):</t>
        </is>
      </c>
    </row>
    <row r="82">
      <c r="B82" s="9" t="inlineStr">
        <is>
          <t>s_t =</t>
        </is>
      </c>
      <c r="D82" s="9" t="n">
        <v>0.0709</v>
      </c>
      <c r="E82" s="9" t="n">
        <v>0.1181</v>
      </c>
      <c r="F82" s="9" t="n">
        <v>-0.0345</v>
      </c>
    </row>
    <row r="83"/>
    <row r="84">
      <c r="B84" s="15" t="inlineStr">
        <is>
          <t>Output Probabilities:</t>
        </is>
      </c>
    </row>
    <row r="85">
      <c r="B85" s="14" t="inlineStr">
        <is>
          <t>&lt;PAD&gt;</t>
        </is>
      </c>
      <c r="D85" s="24" t="n">
        <v>0.1749</v>
      </c>
    </row>
    <row r="86">
      <c r="B86" s="14" t="inlineStr">
        <is>
          <t>&lt;SOS&gt;</t>
        </is>
      </c>
      <c r="D86" s="24" t="n">
        <v>0.1752</v>
      </c>
    </row>
    <row r="87">
      <c r="B87" s="14" t="inlineStr">
        <is>
          <t>&lt;EOS&gt;</t>
        </is>
      </c>
      <c r="D87" s="24" t="n">
        <v>0.1417</v>
      </c>
    </row>
    <row r="88">
      <c r="B88" s="14" t="inlineStr">
        <is>
          <t>I</t>
        </is>
      </c>
      <c r="D88" s="25" t="n">
        <v>0.1763</v>
      </c>
      <c r="F88" s="29" t="inlineStr">
        <is>
          <t>← Predicted (argmax)</t>
        </is>
      </c>
    </row>
    <row r="89">
      <c r="B89" s="14" t="inlineStr">
        <is>
          <t>you</t>
        </is>
      </c>
      <c r="D89" s="24" t="n">
        <v>0.157</v>
      </c>
    </row>
    <row r="90">
      <c r="B90" s="14" t="inlineStr">
        <is>
          <t>love</t>
        </is>
      </c>
      <c r="D90" s="24" t="n">
        <v>0.1749</v>
      </c>
    </row>
    <row r="91"/>
    <row r="92">
      <c r="B92" s="27" t="inlineStr">
        <is>
          <t>Prediction: 'I' ✗</t>
        </is>
      </c>
    </row>
    <row r="93">
      <c r="B93" s="30" t="inlineStr">
        <is>
          <t>→ Next Input: 'I'</t>
        </is>
      </c>
    </row>
    <row r="94"/>
    <row r="95"/>
    <row r="96">
      <c r="B96" s="15" t="inlineStr">
        <is>
          <t>═══ Generated Sequence ═══</t>
        </is>
      </c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5" t="n"/>
    </row>
    <row r="97"/>
    <row r="98">
      <c r="B98" s="27" t="inlineStr">
        <is>
          <t>Predicted:</t>
        </is>
      </c>
      <c r="D98" s="25" t="inlineStr">
        <is>
          <t>I</t>
        </is>
      </c>
      <c r="F98" s="31" t="inlineStr">
        <is>
          <t>&lt;PAD&gt;</t>
        </is>
      </c>
      <c r="H98" s="31" t="inlineStr">
        <is>
          <t>&lt;PAD&gt;</t>
        </is>
      </c>
      <c r="J98" s="31" t="inlineStr">
        <is>
          <t>I</t>
        </is>
      </c>
    </row>
    <row r="99">
      <c r="B99" s="27" t="inlineStr">
        <is>
          <t>Target:</t>
        </is>
      </c>
      <c r="D99" s="12" t="inlineStr">
        <is>
          <t>I</t>
        </is>
      </c>
      <c r="F99" s="12" t="inlineStr">
        <is>
          <t>you</t>
        </is>
      </c>
      <c r="H99" s="12" t="inlineStr">
        <is>
          <t>love</t>
        </is>
      </c>
      <c r="J99" s="12" t="inlineStr">
        <is>
          <t>&lt;EOS&gt;</t>
        </is>
      </c>
    </row>
  </sheetData>
  <mergeCells count="6">
    <mergeCell ref="B96:N96"/>
    <mergeCell ref="B2:AH2"/>
    <mergeCell ref="B75:T75"/>
    <mergeCell ref="B12:T12"/>
    <mergeCell ref="B54:T54"/>
    <mergeCell ref="B33:T3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/>
    <row r="2">
      <c r="B2" s="1" t="inlineStr">
        <is>
          <t>Teacher Forcing vs Autoregressive Comparison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5" t="n"/>
    </row>
    <row r="3"/>
    <row r="4">
      <c r="B4" s="1" t="inlineStr"/>
      <c r="G4" s="32" t="inlineStr">
        <is>
          <t>Teacher Forcing (Training)</t>
        </is>
      </c>
      <c r="H4" s="4" t="n"/>
      <c r="I4" s="4" t="n"/>
      <c r="J4" s="5" t="n"/>
      <c r="L4" s="30" t="inlineStr">
        <is>
          <t>Autoregressive (Inference)</t>
        </is>
      </c>
      <c r="M4" s="4" t="n"/>
      <c r="N4" s="4" t="n"/>
      <c r="O4" s="5" t="n"/>
    </row>
    <row r="5">
      <c r="B5" s="1" t="inlineStr">
        <is>
          <t>Input source</t>
        </is>
      </c>
      <c r="G5" s="25" t="inlineStr">
        <is>
          <t>Ground Truth</t>
        </is>
      </c>
      <c r="H5" s="4" t="n"/>
      <c r="I5" s="4" t="n"/>
      <c r="J5" s="5" t="n"/>
      <c r="L5" s="31" t="inlineStr">
        <is>
          <t>Model Prediction</t>
        </is>
      </c>
      <c r="M5" s="4" t="n"/>
      <c r="N5" s="4" t="n"/>
      <c r="O5" s="5" t="n"/>
    </row>
    <row r="6">
      <c r="B6" s="1" t="inlineStr">
        <is>
          <t>When to use</t>
        </is>
      </c>
      <c r="G6" s="25" t="inlineStr">
        <is>
          <t>Training</t>
        </is>
      </c>
      <c r="H6" s="4" t="n"/>
      <c r="I6" s="4" t="n"/>
      <c r="J6" s="5" t="n"/>
      <c r="L6" s="31" t="inlineStr">
        <is>
          <t>Inference</t>
        </is>
      </c>
      <c r="M6" s="4" t="n"/>
      <c r="N6" s="4" t="n"/>
      <c r="O6" s="5" t="n"/>
    </row>
    <row r="7">
      <c r="B7" s="1" t="inlineStr">
        <is>
          <t>Advantages</t>
        </is>
      </c>
      <c r="G7" s="25" t="inlineStr">
        <is>
          <t>Stable training, fast convergence</t>
        </is>
      </c>
      <c r="H7" s="4" t="n"/>
      <c r="I7" s="4" t="n"/>
      <c r="J7" s="5" t="n"/>
      <c r="L7" s="31" t="inlineStr">
        <is>
          <t>Same as real environment</t>
        </is>
      </c>
      <c r="M7" s="4" t="n"/>
      <c r="N7" s="4" t="n"/>
      <c r="O7" s="5" t="n"/>
    </row>
    <row r="8">
      <c r="B8" s="1" t="inlineStr">
        <is>
          <t>Disadvantages</t>
        </is>
      </c>
      <c r="G8" s="25" t="inlineStr">
        <is>
          <t>Exposure Bias</t>
        </is>
      </c>
      <c r="H8" s="4" t="n"/>
      <c r="I8" s="4" t="n"/>
      <c r="J8" s="5" t="n"/>
      <c r="L8" s="31" t="inlineStr">
        <is>
          <t>Error Propagation</t>
        </is>
      </c>
      <c r="M8" s="4" t="n"/>
      <c r="N8" s="4" t="n"/>
      <c r="O8" s="5" t="n"/>
    </row>
    <row r="9">
      <c r="B9" s="1" t="inlineStr">
        <is>
          <t>Parallelization</t>
        </is>
      </c>
      <c r="G9" s="25" t="inlineStr">
        <is>
          <t>Possible (all inputs known)</t>
        </is>
      </c>
      <c r="H9" s="4" t="n"/>
      <c r="I9" s="4" t="n"/>
      <c r="J9" s="5" t="n"/>
      <c r="L9" s="31" t="inlineStr">
        <is>
          <t>Impossible (sequential)</t>
        </is>
      </c>
      <c r="M9" s="4" t="n"/>
      <c r="N9" s="4" t="n"/>
      <c r="O9" s="5" t="n"/>
    </row>
    <row r="10"/>
    <row r="11"/>
    <row r="12">
      <c r="B12" s="1" t="inlineStr">
        <is>
          <t>═══ Input Flow Comparison ═══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5" t="n"/>
    </row>
    <row r="13"/>
    <row r="14">
      <c r="B14" s="32" t="inlineStr">
        <is>
          <t>Teacher Forcing:</t>
        </is>
      </c>
    </row>
    <row r="15">
      <c r="B15" s="14" t="inlineStr">
        <is>
          <t>Input:</t>
        </is>
      </c>
      <c r="D15" s="25" t="inlineStr">
        <is>
          <t>&lt;SOS&gt;</t>
        </is>
      </c>
      <c r="E15" s="10" t="inlineStr">
        <is>
          <t>→</t>
        </is>
      </c>
      <c r="F15" s="25" t="inlineStr">
        <is>
          <t>I</t>
        </is>
      </c>
      <c r="G15" s="10" t="inlineStr">
        <is>
          <t>→</t>
        </is>
      </c>
      <c r="H15" s="25" t="inlineStr">
        <is>
          <t>you</t>
        </is>
      </c>
      <c r="I15" s="10" t="inlineStr">
        <is>
          <t>→</t>
        </is>
      </c>
      <c r="J15" s="25" t="inlineStr">
        <is>
          <t>love</t>
        </is>
      </c>
    </row>
    <row r="16">
      <c r="B16" s="14" t="inlineStr">
        <is>
          <t>Output:</t>
        </is>
      </c>
      <c r="D16" s="12" t="inlineStr">
        <is>
          <t>I</t>
        </is>
      </c>
      <c r="F16" s="12" t="inlineStr">
        <is>
          <t>you</t>
        </is>
      </c>
      <c r="H16" s="12" t="inlineStr">
        <is>
          <t>love</t>
        </is>
      </c>
      <c r="J16" s="12" t="inlineStr">
        <is>
          <t>&lt;EOS&gt;</t>
        </is>
      </c>
    </row>
    <row r="17"/>
    <row r="18">
      <c r="B18" s="30" t="inlineStr">
        <is>
          <t>Autoregressive:</t>
        </is>
      </c>
    </row>
    <row r="19">
      <c r="B19" s="14" t="inlineStr">
        <is>
          <t>Input:</t>
        </is>
      </c>
      <c r="D19" s="31" t="inlineStr">
        <is>
          <t>&lt;SOS&gt;</t>
        </is>
      </c>
      <c r="E19" s="10" t="inlineStr">
        <is>
          <t>→</t>
        </is>
      </c>
      <c r="F19" s="31" t="inlineStr">
        <is>
          <t>ŷ₀</t>
        </is>
      </c>
      <c r="G19" s="10" t="inlineStr">
        <is>
          <t>→</t>
        </is>
      </c>
      <c r="H19" s="31" t="inlineStr">
        <is>
          <t>ŷ₁</t>
        </is>
      </c>
      <c r="I19" s="10" t="inlineStr">
        <is>
          <t>→</t>
        </is>
      </c>
      <c r="J19" s="31" t="inlineStr">
        <is>
          <t>ŷ₂</t>
        </is>
      </c>
    </row>
    <row r="20">
      <c r="B20" s="14" t="inlineStr">
        <is>
          <t>Output:</t>
        </is>
      </c>
      <c r="D20" s="12" t="inlineStr">
        <is>
          <t>ŷ₀</t>
        </is>
      </c>
      <c r="F20" s="12" t="inlineStr">
        <is>
          <t>ŷ₁</t>
        </is>
      </c>
      <c r="H20" s="12" t="inlineStr">
        <is>
          <t>ŷ₂</t>
        </is>
      </c>
      <c r="J20" s="12" t="inlineStr">
        <is>
          <t>ŷ₃</t>
        </is>
      </c>
    </row>
    <row r="21">
      <c r="C21" s="10" t="inlineStr">
        <is>
          <t>(feedback)</t>
        </is>
      </c>
      <c r="D21" s="10" t="inlineStr">
        <is>
          <t>↖</t>
        </is>
      </c>
      <c r="F21" s="10" t="inlineStr">
        <is>
          <t>↖</t>
        </is>
      </c>
      <c r="H21" s="10" t="inlineStr">
        <is>
          <t>↖</t>
        </is>
      </c>
    </row>
  </sheetData>
  <mergeCells count="14">
    <mergeCell ref="L5:O5"/>
    <mergeCell ref="G6:J6"/>
    <mergeCell ref="B12:V12"/>
    <mergeCell ref="L8:O8"/>
    <mergeCell ref="G9:J9"/>
    <mergeCell ref="B2:V2"/>
    <mergeCell ref="L9:O9"/>
    <mergeCell ref="G8:J8"/>
    <mergeCell ref="G4:J4"/>
    <mergeCell ref="L4:O4"/>
    <mergeCell ref="L6:O6"/>
    <mergeCell ref="G7:J7"/>
    <mergeCell ref="L7:O7"/>
    <mergeCell ref="G5:J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2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/>
    <row r="2">
      <c r="B2" s="33" t="inlineStr">
        <is>
          <t>Seq2Seq Backward Pass - Original → Gradient → Updated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3"/>
    <row r="4">
      <c r="B4" s="34" t="inlineStr">
        <is>
          <t>Learning Rate: 0.1</t>
        </is>
      </c>
    </row>
    <row r="5"/>
    <row r="6">
      <c r="B6" s="15" t="inlineStr">
        <is>
          <t>═══ 1. Decoder Output Layer Gradients (t=3: love→&lt;EOS&gt;) ═══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5" t="n"/>
    </row>
    <row r="7"/>
    <row r="8">
      <c r="B8" s="35" t="inlineStr">
        <is>
          <t>Target: '&lt;EOS&gt;' (index=2)</t>
        </is>
      </c>
    </row>
    <row r="9">
      <c r="B9" s="36" t="inlineStr">
        <is>
          <t>Predicted probs: [0.1977, 0.1673, 0.1299, 0.1907, 0.1398, 0.1747]</t>
        </is>
      </c>
    </row>
    <row r="10"/>
    <row r="11">
      <c r="B11" s="30" t="inlineStr">
        <is>
          <t>dL/d_logits = softmax(logits) - one_hot(target):</t>
        </is>
      </c>
    </row>
    <row r="12">
      <c r="B12" s="14" t="inlineStr">
        <is>
          <t>&lt;PAD&gt;</t>
        </is>
      </c>
      <c r="D12" s="31" t="n">
        <v>0.1977</v>
      </c>
    </row>
    <row r="13">
      <c r="B13" s="14" t="inlineStr">
        <is>
          <t>&lt;SOS&gt;</t>
        </is>
      </c>
      <c r="D13" s="31" t="n">
        <v>0.1673</v>
      </c>
    </row>
    <row r="14">
      <c r="B14" s="14" t="inlineStr">
        <is>
          <t>&lt;EOS&gt;</t>
        </is>
      </c>
      <c r="D14" s="31" t="n">
        <v>-0.8701</v>
      </c>
      <c r="F14" s="26" t="inlineStr">
        <is>
          <t>← Target</t>
        </is>
      </c>
    </row>
    <row r="15">
      <c r="B15" s="14" t="inlineStr">
        <is>
          <t>I</t>
        </is>
      </c>
      <c r="D15" s="31" t="n">
        <v>0.1907</v>
      </c>
    </row>
    <row r="16">
      <c r="B16" s="14" t="inlineStr">
        <is>
          <t>you</t>
        </is>
      </c>
      <c r="D16" s="31" t="n">
        <v>0.1398</v>
      </c>
    </row>
    <row r="17">
      <c r="B17" s="14" t="inlineStr">
        <is>
          <t>love</t>
        </is>
      </c>
      <c r="D17" s="31" t="n">
        <v>0.1747</v>
      </c>
    </row>
    <row r="18"/>
    <row r="19"/>
    <row r="20">
      <c r="B20" s="15" t="inlineStr">
        <is>
          <t>dec_Why Update (showing first 3 rows):</t>
        </is>
      </c>
    </row>
    <row r="21">
      <c r="B21" s="14" t="inlineStr"/>
      <c r="D21" s="15" t="inlineStr">
        <is>
          <t>Original</t>
        </is>
      </c>
      <c r="H21" s="30" t="inlineStr">
        <is>
          <t>Gradient</t>
        </is>
      </c>
      <c r="L21" s="32" t="inlineStr">
        <is>
          <t>Updated</t>
        </is>
      </c>
    </row>
    <row r="22">
      <c r="B22" s="14" t="inlineStr">
        <is>
          <t>&lt;PAD&gt;</t>
        </is>
      </c>
      <c r="D22" s="12" t="n">
        <v>0.4</v>
      </c>
      <c r="E22" s="12" t="n">
        <v>-0.2</v>
      </c>
      <c r="F22" s="12" t="n">
        <v>0.3</v>
      </c>
      <c r="H22" s="31" t="n">
        <v>0.0646</v>
      </c>
      <c r="I22" s="31" t="n">
        <v>-0.0134</v>
      </c>
      <c r="J22" s="31" t="n">
        <v>-0.0074</v>
      </c>
      <c r="L22" s="25" t="n">
        <v>0.394</v>
      </c>
      <c r="M22" s="25" t="n">
        <v>-0.199</v>
      </c>
      <c r="N22" s="25" t="n">
        <v>0.301</v>
      </c>
    </row>
    <row r="23">
      <c r="B23" s="14" t="inlineStr">
        <is>
          <t>&lt;SOS&gt;</t>
        </is>
      </c>
      <c r="D23" s="12" t="n">
        <v>0.1</v>
      </c>
      <c r="E23" s="12" t="n">
        <v>0.3</v>
      </c>
      <c r="F23" s="12" t="n">
        <v>-0.1</v>
      </c>
      <c r="H23" s="31" t="n">
        <v>0.0547</v>
      </c>
      <c r="I23" s="31" t="n">
        <v>-0.0113</v>
      </c>
      <c r="J23" s="31" t="n">
        <v>-0.0063</v>
      </c>
      <c r="L23" s="25" t="n">
        <v>0.095</v>
      </c>
      <c r="M23" s="25" t="n">
        <v>0.301</v>
      </c>
      <c r="N23" s="25" t="n">
        <v>-0.099</v>
      </c>
    </row>
    <row r="24">
      <c r="B24" s="14" t="inlineStr">
        <is>
          <t>&lt;EOS&gt;</t>
        </is>
      </c>
      <c r="D24" s="12" t="n">
        <v>-0.2</v>
      </c>
      <c r="E24" s="12" t="n">
        <v>0.1</v>
      </c>
      <c r="F24" s="12" t="n">
        <v>0.4</v>
      </c>
      <c r="H24" s="31" t="n">
        <v>-0.2844</v>
      </c>
      <c r="I24" s="31" t="n">
        <v>0.0589</v>
      </c>
      <c r="J24" s="31" t="n">
        <v>0.0328</v>
      </c>
      <c r="L24" s="25" t="n">
        <v>-0.172</v>
      </c>
      <c r="M24" s="25" t="n">
        <v>0.094</v>
      </c>
      <c r="N24" s="25" t="n">
        <v>0.397</v>
      </c>
    </row>
    <row r="25"/>
    <row r="26">
      <c r="B26" s="15" t="inlineStr">
        <is>
          <t>dec_by Update:</t>
        </is>
      </c>
    </row>
    <row r="27">
      <c r="B27" s="12" t="inlineStr">
        <is>
          <t>Original:</t>
        </is>
      </c>
      <c r="D27" s="12" t="n">
        <v>0.1</v>
      </c>
      <c r="E27" s="12" t="n">
        <v>0.05</v>
      </c>
      <c r="F27" s="12" t="n">
        <v>-0.1</v>
      </c>
      <c r="G27" s="12" t="n">
        <v>0.1</v>
      </c>
      <c r="H27" s="12" t="n">
        <v>-0.05</v>
      </c>
      <c r="I27" s="12" t="n">
        <v>0.05</v>
      </c>
    </row>
    <row r="28">
      <c r="B28" s="31" t="inlineStr">
        <is>
          <t>Gradient:</t>
        </is>
      </c>
      <c r="D28" s="31" t="n">
        <v>0.1977</v>
      </c>
      <c r="E28" s="31" t="n">
        <v>0.1673</v>
      </c>
      <c r="F28" s="31" t="n">
        <v>-0.8701</v>
      </c>
      <c r="G28" s="31" t="n">
        <v>0.1907</v>
      </c>
      <c r="H28" s="31" t="n">
        <v>0.1398</v>
      </c>
      <c r="I28" s="31" t="n">
        <v>0.1747</v>
      </c>
    </row>
    <row r="29">
      <c r="B29" s="25" t="inlineStr">
        <is>
          <t>Updated:</t>
        </is>
      </c>
      <c r="D29" s="25" t="n">
        <v>0.08</v>
      </c>
      <c r="E29" s="25" t="n">
        <v>0.033</v>
      </c>
      <c r="F29" s="25" t="n">
        <v>-0.013</v>
      </c>
      <c r="G29" s="25" t="n">
        <v>0.081</v>
      </c>
      <c r="H29" s="25" t="n">
        <v>-0.064</v>
      </c>
      <c r="I29" s="25" t="n">
        <v>0.033</v>
      </c>
    </row>
    <row r="30"/>
    <row r="31"/>
    <row r="32">
      <c r="B32" s="7" t="inlineStr">
        <is>
          <t>═══ 2. Gradient to Decoder Hidden State ═══</t>
        </is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5" t="n"/>
    </row>
    <row r="33"/>
    <row r="34">
      <c r="B34" s="7" t="inlineStr">
        <is>
          <t>dL/dh_t = dec_Why^T @ dL/d_logits:</t>
        </is>
      </c>
    </row>
    <row r="35">
      <c r="B35" s="9" t="inlineStr">
        <is>
          <t xml:space="preserve">  dL/dh[0]</t>
        </is>
      </c>
      <c r="D35" s="9">
        <f> 0.348</f>
        <v/>
      </c>
    </row>
    <row r="36">
      <c r="B36" s="9" t="inlineStr">
        <is>
          <t xml:space="preserve">  dL/dh[1]</t>
        </is>
      </c>
      <c r="D36" s="9">
        <f> -0.0046</f>
        <v/>
      </c>
    </row>
    <row r="37">
      <c r="B37" s="9" t="inlineStr">
        <is>
          <t xml:space="preserve">  dL/dh[2]</t>
        </is>
      </c>
      <c r="D37" s="9">
        <f> -0.2883</f>
        <v/>
      </c>
    </row>
    <row r="38"/>
    <row r="39"/>
    <row r="40">
      <c r="B40" s="18" t="inlineStr">
        <is>
          <t>dL/dz_h = dL/dh_t ⊙ (1 - h_t²)  [tanh derivative]:</t>
        </is>
      </c>
    </row>
    <row r="41">
      <c r="B41" s="19" t="inlineStr">
        <is>
          <t xml:space="preserve">  dL/dz[0]</t>
        </is>
      </c>
      <c r="D41">
        <f> 0.348 × (1 - 0.3268²)</f>
        <v/>
      </c>
      <c r="N41" s="19">
        <f> 0.3108</f>
        <v/>
      </c>
    </row>
    <row r="42">
      <c r="B42" s="19" t="inlineStr">
        <is>
          <t xml:space="preserve">  dL/dz[1]</t>
        </is>
      </c>
      <c r="D42">
        <f> -0.0046 × (1 - -0.0677²)</f>
        <v/>
      </c>
      <c r="N42" s="19">
        <f> -0.0046</f>
        <v/>
      </c>
    </row>
    <row r="43">
      <c r="B43" s="19" t="inlineStr">
        <is>
          <t xml:space="preserve">  dL/dz[2]</t>
        </is>
      </c>
      <c r="D43">
        <f> -0.2883 × (1 - -0.0377²)</f>
        <v/>
      </c>
      <c r="N43" s="19">
        <f> -0.2879</f>
        <v/>
      </c>
    </row>
    <row r="44"/>
    <row r="45"/>
    <row r="46">
      <c r="B46" s="7" t="inlineStr">
        <is>
          <t>═══ 3. Decoder RNN Weight Gradients ═══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5" t="n"/>
    </row>
    <row r="47"/>
    <row r="48">
      <c r="B48" s="7" t="inlineStr">
        <is>
          <t>dec_Wxh Update:</t>
        </is>
      </c>
    </row>
    <row r="49">
      <c r="B49" s="14" t="inlineStr"/>
      <c r="D49" s="7" t="inlineStr">
        <is>
          <t>Original</t>
        </is>
      </c>
      <c r="H49" s="30" t="inlineStr">
        <is>
          <t>Gradient</t>
        </is>
      </c>
      <c r="L49" s="32" t="inlineStr">
        <is>
          <t>Updated</t>
        </is>
      </c>
    </row>
    <row r="50">
      <c r="B50" s="9" t="inlineStr">
        <is>
          <t>Wxh[0]</t>
        </is>
      </c>
      <c r="D50" s="9" t="n">
        <v>0.3</v>
      </c>
      <c r="E50" s="9" t="n">
        <v>-0.2</v>
      </c>
      <c r="F50" s="9" t="n">
        <v>0.1</v>
      </c>
      <c r="H50" s="31" t="n">
        <v>0.09320000000000001</v>
      </c>
      <c r="I50" s="31" t="n">
        <v>-0.0014</v>
      </c>
      <c r="J50" s="31" t="n">
        <v>-0.0864</v>
      </c>
      <c r="L50" s="25" t="n">
        <v>0.291</v>
      </c>
      <c r="M50" s="25" t="n">
        <v>-0.2</v>
      </c>
      <c r="N50" s="25" t="n">
        <v>0.109</v>
      </c>
    </row>
    <row r="51">
      <c r="B51" s="9" t="inlineStr">
        <is>
          <t>Wxh[1]</t>
        </is>
      </c>
      <c r="D51" s="9" t="n">
        <v>-0.1</v>
      </c>
      <c r="E51" s="9" t="n">
        <v>0.4</v>
      </c>
      <c r="F51" s="9" t="n">
        <v>0.2</v>
      </c>
      <c r="H51" s="31" t="n">
        <v>-0.09320000000000001</v>
      </c>
      <c r="I51" s="31" t="n">
        <v>0.0014</v>
      </c>
      <c r="J51" s="31" t="n">
        <v>0.0864</v>
      </c>
      <c r="L51" s="25" t="n">
        <v>-0.091</v>
      </c>
      <c r="M51" s="25" t="n">
        <v>0.4</v>
      </c>
      <c r="N51" s="25" t="n">
        <v>0.191</v>
      </c>
    </row>
    <row r="52">
      <c r="B52" s="9" t="inlineStr">
        <is>
          <t>Wxh[2]</t>
        </is>
      </c>
      <c r="D52" s="9" t="n">
        <v>0.2</v>
      </c>
      <c r="E52" s="9" t="n">
        <v>0.1</v>
      </c>
      <c r="F52" s="9" t="n">
        <v>-0.3</v>
      </c>
      <c r="H52" s="31" t="n">
        <v>0.1243</v>
      </c>
      <c r="I52" s="31" t="n">
        <v>-0.0018</v>
      </c>
      <c r="J52" s="31" t="n">
        <v>-0.1152</v>
      </c>
      <c r="L52" s="25" t="n">
        <v>0.188</v>
      </c>
      <c r="M52" s="25" t="n">
        <v>0.1</v>
      </c>
      <c r="N52" s="25" t="n">
        <v>-0.288</v>
      </c>
    </row>
    <row r="53">
      <c r="B53" s="9" t="inlineStr">
        <is>
          <t>Wxh[3]</t>
        </is>
      </c>
      <c r="D53" s="9" t="n">
        <v>0.1</v>
      </c>
      <c r="E53" s="9" t="n">
        <v>-0.2</v>
      </c>
      <c r="F53" s="9" t="n">
        <v>0.4</v>
      </c>
      <c r="H53" s="31" t="n">
        <v>0.1554</v>
      </c>
      <c r="I53" s="31" t="n">
        <v>-0.0023</v>
      </c>
      <c r="J53" s="31" t="n">
        <v>-0.1439</v>
      </c>
      <c r="L53" s="25" t="n">
        <v>0.08400000000000001</v>
      </c>
      <c r="M53" s="25" t="n">
        <v>-0.2</v>
      </c>
      <c r="N53" s="25" t="n">
        <v>0.414</v>
      </c>
    </row>
    <row r="54"/>
    <row r="55"/>
    <row r="56">
      <c r="B56" s="7" t="inlineStr">
        <is>
          <t>dec_Whh Update:</t>
        </is>
      </c>
    </row>
    <row r="57">
      <c r="B57" s="14" t="inlineStr"/>
      <c r="D57" s="7" t="inlineStr">
        <is>
          <t>Original</t>
        </is>
      </c>
      <c r="H57" s="30" t="inlineStr">
        <is>
          <t>Gradient</t>
        </is>
      </c>
      <c r="L57" s="32" t="inlineStr">
        <is>
          <t>Updated</t>
        </is>
      </c>
    </row>
    <row r="58">
      <c r="B58" s="9" t="inlineStr">
        <is>
          <t>Whh[0]</t>
        </is>
      </c>
      <c r="D58" s="9" t="n">
        <v>0.3</v>
      </c>
      <c r="E58" s="9" t="n">
        <v>-0.1</v>
      </c>
      <c r="F58" s="9" t="n">
        <v>0.2</v>
      </c>
      <c r="H58" s="31" t="n">
        <v>0.0014</v>
      </c>
      <c r="I58" s="31" t="n">
        <v>0</v>
      </c>
      <c r="J58" s="31" t="n">
        <v>-0.0013</v>
      </c>
      <c r="L58" s="25" t="n">
        <v>0.3</v>
      </c>
      <c r="M58" s="25" t="n">
        <v>-0.1</v>
      </c>
      <c r="N58" s="25" t="n">
        <v>0.2</v>
      </c>
    </row>
    <row r="59">
      <c r="B59" s="9" t="inlineStr">
        <is>
          <t>Whh[1]</t>
        </is>
      </c>
      <c r="D59" s="9" t="n">
        <v>0.1</v>
      </c>
      <c r="E59" s="9" t="n">
        <v>0.2</v>
      </c>
      <c r="F59" s="9" t="n">
        <v>-0.1</v>
      </c>
      <c r="H59" s="31" t="n">
        <v>0.1139</v>
      </c>
      <c r="I59" s="31" t="n">
        <v>-0.0017</v>
      </c>
      <c r="J59" s="31" t="n">
        <v>-0.1055</v>
      </c>
      <c r="L59" s="25" t="n">
        <v>0.089</v>
      </c>
      <c r="M59" s="25" t="n">
        <v>0.2</v>
      </c>
      <c r="N59" s="25" t="n">
        <v>-0.089</v>
      </c>
    </row>
    <row r="60">
      <c r="B60" s="9" t="inlineStr">
        <is>
          <t>Whh[2]</t>
        </is>
      </c>
      <c r="D60" s="9" t="n">
        <v>-0.2</v>
      </c>
      <c r="E60" s="9" t="n">
        <v>0.1</v>
      </c>
      <c r="F60" s="9" t="n">
        <v>0.3</v>
      </c>
      <c r="H60" s="31" t="n">
        <v>-0.002</v>
      </c>
      <c r="I60" s="31" t="n">
        <v>0</v>
      </c>
      <c r="J60" s="31" t="n">
        <v>0.0019</v>
      </c>
      <c r="L60" s="25" t="n">
        <v>-0.2</v>
      </c>
      <c r="M60" s="25" t="n">
        <v>0.1</v>
      </c>
      <c r="N60" s="25" t="n">
        <v>0.3</v>
      </c>
    </row>
    <row r="61"/>
    <row r="62"/>
    <row r="63">
      <c r="B63" s="7" t="inlineStr">
        <is>
          <t>dec_bh Update:</t>
        </is>
      </c>
    </row>
    <row r="64">
      <c r="B64" s="9" t="inlineStr">
        <is>
          <t>Original:</t>
        </is>
      </c>
      <c r="D64" s="9" t="n">
        <v>0.05</v>
      </c>
      <c r="E64" s="9" t="n">
        <v>0.1</v>
      </c>
      <c r="F64" s="9" t="n">
        <v>-0.05</v>
      </c>
    </row>
    <row r="65">
      <c r="B65" s="31" t="inlineStr">
        <is>
          <t>Gradient:</t>
        </is>
      </c>
      <c r="D65" s="31" t="n">
        <v>0.3108</v>
      </c>
      <c r="E65" s="31" t="n">
        <v>-0.0046</v>
      </c>
      <c r="F65" s="31" t="n">
        <v>-0.2879</v>
      </c>
    </row>
    <row r="66">
      <c r="B66" s="25" t="inlineStr">
        <is>
          <t>Updated:</t>
        </is>
      </c>
      <c r="D66" s="25" t="n">
        <v>0.019</v>
      </c>
      <c r="E66" s="25" t="n">
        <v>0.1</v>
      </c>
      <c r="F66" s="25" t="n">
        <v>-0.021</v>
      </c>
    </row>
    <row r="67"/>
    <row r="68"/>
    <row r="69">
      <c r="B69" s="11" t="inlineStr">
        <is>
          <t>═══ 4. Gradient to Previous Hidden State (BPTT) ═══</t>
        </is>
      </c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5" t="n"/>
    </row>
    <row r="70"/>
    <row r="71">
      <c r="B71" s="11" t="inlineStr">
        <is>
          <t>dL/dh_{t-1} = dec_Whh^T @ dL/dz_h:</t>
        </is>
      </c>
    </row>
    <row r="72">
      <c r="B72" s="20" t="inlineStr">
        <is>
          <t xml:space="preserve">  dL/dh_prev[0]</t>
        </is>
      </c>
      <c r="E72" s="20">
        <f> 0.0361</f>
        <v/>
      </c>
    </row>
    <row r="73">
      <c r="B73" s="20" t="inlineStr">
        <is>
          <t xml:space="preserve">  dL/dh_prev[1]</t>
        </is>
      </c>
      <c r="E73" s="20">
        <f> 0.059</f>
        <v/>
      </c>
    </row>
    <row r="74">
      <c r="B74" s="20" t="inlineStr">
        <is>
          <t xml:space="preserve">  dL/dh_prev[2]</t>
        </is>
      </c>
      <c r="E74" s="20">
        <f> -0.149</f>
        <v/>
      </c>
    </row>
    <row r="75"/>
    <row r="76"/>
    <row r="77">
      <c r="B77" t="inlineStr">
        <is>
          <t>This gradient propagates to t-1 timestep, continuing BPTT</t>
        </is>
      </c>
    </row>
    <row r="78"/>
    <row r="79"/>
    <row r="80">
      <c r="B80" s="6" t="inlineStr">
        <is>
          <t>═══ 5. Encoder Gradients (through Context Vector) ═══</t>
        </is>
      </c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5" t="n"/>
    </row>
    <row r="81"/>
    <row r="82">
      <c r="B82" s="11" t="inlineStr">
        <is>
          <t>dL/d_context (from decoder t=0):</t>
        </is>
      </c>
    </row>
    <row r="83">
      <c r="B83" s="20" t="inlineStr">
        <is>
          <t xml:space="preserve">  [0]</t>
        </is>
      </c>
      <c r="D83" s="20">
        <f> 0.0361</f>
        <v/>
      </c>
    </row>
    <row r="84">
      <c r="B84" s="20" t="inlineStr">
        <is>
          <t xml:space="preserve">  [1]</t>
        </is>
      </c>
      <c r="D84" s="20">
        <f> 0.059</f>
        <v/>
      </c>
    </row>
    <row r="85">
      <c r="B85" s="20" t="inlineStr">
        <is>
          <t xml:space="preserve">  [2]</t>
        </is>
      </c>
      <c r="D85" s="20">
        <f> -0.149</f>
        <v/>
      </c>
    </row>
    <row r="86"/>
    <row r="87"/>
    <row r="88">
      <c r="B88" s="6" t="inlineStr">
        <is>
          <t>enc_Wxh Update (last timestep gradient):</t>
        </is>
      </c>
    </row>
    <row r="89">
      <c r="B89" s="14" t="inlineStr"/>
      <c r="D89" s="6" t="inlineStr">
        <is>
          <t>Original</t>
        </is>
      </c>
      <c r="H89" s="30" t="inlineStr">
        <is>
          <t>Gradient</t>
        </is>
      </c>
      <c r="L89" s="32" t="inlineStr">
        <is>
          <t>Updated</t>
        </is>
      </c>
    </row>
    <row r="90">
      <c r="B90" s="8" t="inlineStr">
        <is>
          <t>Wxh[0]</t>
        </is>
      </c>
      <c r="D90" s="8" t="n">
        <v>0.2</v>
      </c>
      <c r="E90" s="8" t="n">
        <v>-0.1</v>
      </c>
      <c r="F90" s="8" t="n">
        <v>0.3</v>
      </c>
      <c r="H90" s="31" t="n">
        <v>-0.0072</v>
      </c>
      <c r="I90" s="31" t="n">
        <v>-0.0114</v>
      </c>
      <c r="J90" s="31" t="n">
        <v>0.0298</v>
      </c>
      <c r="L90" s="25" t="n">
        <v>0.201</v>
      </c>
      <c r="M90" s="25" t="n">
        <v>-0.099</v>
      </c>
      <c r="N90" s="25" t="n">
        <v>0.297</v>
      </c>
    </row>
    <row r="91">
      <c r="B91" s="8" t="inlineStr">
        <is>
          <t>Wxh[1]</t>
        </is>
      </c>
      <c r="D91" s="8" t="n">
        <v>0.1</v>
      </c>
      <c r="E91" s="8" t="n">
        <v>0.3</v>
      </c>
      <c r="F91" s="8" t="n">
        <v>-0.2</v>
      </c>
      <c r="H91" s="31" t="n">
        <v>0.0144</v>
      </c>
      <c r="I91" s="31" t="n">
        <v>0.0228</v>
      </c>
      <c r="J91" s="31" t="n">
        <v>-0.0596</v>
      </c>
      <c r="L91" s="25" t="n">
        <v>0.099</v>
      </c>
      <c r="M91" s="25" t="n">
        <v>0.298</v>
      </c>
      <c r="N91" s="25" t="n">
        <v>-0.194</v>
      </c>
    </row>
    <row r="92">
      <c r="B92" s="8" t="inlineStr">
        <is>
          <t>Wxh[2]</t>
        </is>
      </c>
      <c r="D92" s="8" t="n">
        <v>-0.2</v>
      </c>
      <c r="E92" s="8" t="n">
        <v>0.2</v>
      </c>
      <c r="F92" s="8" t="n">
        <v>0.1</v>
      </c>
      <c r="H92" s="31" t="n">
        <v>0.0108</v>
      </c>
      <c r="I92" s="31" t="n">
        <v>0.0171</v>
      </c>
      <c r="J92" s="31" t="n">
        <v>-0.0447</v>
      </c>
      <c r="L92" s="25" t="n">
        <v>-0.201</v>
      </c>
      <c r="M92" s="25" t="n">
        <v>0.198</v>
      </c>
      <c r="N92" s="25" t="n">
        <v>0.104</v>
      </c>
    </row>
    <row r="93">
      <c r="B93" s="8" t="inlineStr">
        <is>
          <t>Wxh[3]</t>
        </is>
      </c>
      <c r="D93" s="8" t="n">
        <v>0.3</v>
      </c>
      <c r="E93" s="8" t="n">
        <v>-0.1</v>
      </c>
      <c r="F93" s="8" t="n">
        <v>0.2</v>
      </c>
      <c r="H93" s="31" t="n">
        <v>-0.0108</v>
      </c>
      <c r="I93" s="31" t="n">
        <v>-0.0171</v>
      </c>
      <c r="J93" s="31" t="n">
        <v>0.0447</v>
      </c>
      <c r="L93" s="25" t="n">
        <v>0.301</v>
      </c>
      <c r="M93" s="25" t="n">
        <v>-0.098</v>
      </c>
      <c r="N93" s="25" t="n">
        <v>0.196</v>
      </c>
    </row>
    <row r="94"/>
    <row r="95"/>
    <row r="96">
      <c r="B96" s="6" t="inlineStr">
        <is>
          <t>enc_Whh Update:</t>
        </is>
      </c>
    </row>
    <row r="97">
      <c r="B97" s="14" t="inlineStr"/>
      <c r="D97" s="6" t="inlineStr">
        <is>
          <t>Original</t>
        </is>
      </c>
      <c r="H97" s="30" t="inlineStr">
        <is>
          <t>Gradient</t>
        </is>
      </c>
      <c r="L97" s="32" t="inlineStr">
        <is>
          <t>Updated</t>
        </is>
      </c>
    </row>
    <row r="98">
      <c r="B98" s="8" t="inlineStr">
        <is>
          <t>Whh[0]</t>
        </is>
      </c>
      <c r="D98" s="8" t="n">
        <v>0.2</v>
      </c>
      <c r="E98" s="8" t="n">
        <v>-0.1</v>
      </c>
      <c r="F98" s="8" t="n">
        <v>0.1</v>
      </c>
      <c r="H98" s="31" t="n">
        <v>0.0124</v>
      </c>
      <c r="I98" s="31" t="n">
        <v>0.0195</v>
      </c>
      <c r="J98" s="31" t="n">
        <v>-0.0511</v>
      </c>
      <c r="L98" s="25" t="n">
        <v>0.199</v>
      </c>
      <c r="M98" s="25" t="n">
        <v>-0.102</v>
      </c>
      <c r="N98" s="25" t="n">
        <v>0.105</v>
      </c>
    </row>
    <row r="99">
      <c r="B99" s="8" t="inlineStr">
        <is>
          <t>Whh[1]</t>
        </is>
      </c>
      <c r="D99" s="8" t="n">
        <v>0.1</v>
      </c>
      <c r="E99" s="8" t="n">
        <v>0.3</v>
      </c>
      <c r="F99" s="8" t="n">
        <v>-0.2</v>
      </c>
      <c r="H99" s="31" t="n">
        <v>-0.0019</v>
      </c>
      <c r="I99" s="31" t="n">
        <v>-0.003</v>
      </c>
      <c r="J99" s="31" t="n">
        <v>0.007900000000000001</v>
      </c>
      <c r="L99" s="25" t="n">
        <v>0.1</v>
      </c>
      <c r="M99" s="25" t="n">
        <v>0.3</v>
      </c>
      <c r="N99" s="25" t="n">
        <v>-0.201</v>
      </c>
    </row>
    <row r="100">
      <c r="B100" s="8" t="inlineStr">
        <is>
          <t>Whh[2]</t>
        </is>
      </c>
      <c r="D100" s="8" t="n">
        <v>-0.1</v>
      </c>
      <c r="E100" s="8" t="n">
        <v>0.2</v>
      </c>
      <c r="F100" s="8" t="n">
        <v>0.2</v>
      </c>
      <c r="H100" s="31" t="n">
        <v>0.009900000000000001</v>
      </c>
      <c r="I100" s="31" t="n">
        <v>0.0156</v>
      </c>
      <c r="J100" s="31" t="n">
        <v>-0.0407</v>
      </c>
      <c r="L100" s="25" t="n">
        <v>-0.101</v>
      </c>
      <c r="M100" s="25" t="n">
        <v>0.198</v>
      </c>
      <c r="N100" s="25" t="n">
        <v>0.204</v>
      </c>
    </row>
    <row r="101"/>
    <row r="102"/>
    <row r="103">
      <c r="B103" s="6" t="inlineStr">
        <is>
          <t>enc_bh Update:</t>
        </is>
      </c>
    </row>
    <row r="104">
      <c r="B104" s="8" t="inlineStr">
        <is>
          <t>Original:</t>
        </is>
      </c>
      <c r="D104" s="8" t="n">
        <v>0.1</v>
      </c>
      <c r="E104" s="8" t="n">
        <v>-0.05</v>
      </c>
      <c r="F104" s="8" t="n">
        <v>0.05</v>
      </c>
    </row>
    <row r="105">
      <c r="B105" s="31" t="inlineStr">
        <is>
          <t>Gradient:</t>
        </is>
      </c>
      <c r="D105" s="31" t="n">
        <v>0.0361</v>
      </c>
      <c r="E105" s="31" t="n">
        <v>0.057</v>
      </c>
      <c r="F105" s="31" t="n">
        <v>-0.1489</v>
      </c>
    </row>
    <row r="106">
      <c r="B106" s="25" t="inlineStr">
        <is>
          <t>Updated:</t>
        </is>
      </c>
      <c r="D106" s="25" t="n">
        <v>0.096</v>
      </c>
      <c r="E106" s="25" t="n">
        <v>-0.056</v>
      </c>
      <c r="F106" s="25" t="n">
        <v>0.065</v>
      </c>
    </row>
    <row r="107"/>
    <row r="108"/>
    <row r="109">
      <c r="B109" s="1" t="inlineStr">
        <is>
          <t>═══ Seq2Seq Gradient Flow Summary ═══</t>
        </is>
      </c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5" t="n"/>
    </row>
    <row r="110"/>
    <row r="111">
      <c r="B111" t="inlineStr">
        <is>
          <t>1. Calculate Loss (Cross-Entropy at each Decoder timestep)</t>
        </is>
      </c>
    </row>
    <row r="112">
      <c r="B112" t="inlineStr">
        <is>
          <t>2. Calculate Decoder Output Layer (dec_Why, dec_by) gradient</t>
        </is>
      </c>
    </row>
    <row r="113">
      <c r="B113" t="inlineStr">
        <is>
          <t>3. Calculate Decoder RNN (dec_Wxh, dec_Whh, dec_bh) gradient</t>
        </is>
      </c>
    </row>
    <row r="114">
      <c r="B114" t="inlineStr">
        <is>
          <t>4. BPTT: Backpropagate gradient to Decoder's each timestep</t>
        </is>
      </c>
    </row>
    <row r="115">
      <c r="B115" t="inlineStr">
        <is>
          <t>5. Propagate gradient to Encoder through Context Vector</t>
        </is>
      </c>
    </row>
    <row r="116">
      <c r="B116" t="inlineStr">
        <is>
          <t>6. Calculate Encoder RNN (enc_Wxh, enc_Whh, enc_bh) gradient</t>
        </is>
      </c>
    </row>
    <row r="117">
      <c r="B117" t="inlineStr">
        <is>
          <t>7. BPTT: Backpropagate gradient to Encoder's each timestep</t>
        </is>
      </c>
    </row>
    <row r="118"/>
    <row r="119">
      <c r="B119" t="inlineStr">
        <is>
          <t>※ Actually sum gradients from all timesteps</t>
        </is>
      </c>
    </row>
    <row r="120">
      <c r="B120" t="inlineStr">
        <is>
          <t>※ Here we only show the last timestep for simplicity</t>
        </is>
      </c>
    </row>
  </sheetData>
  <mergeCells count="7">
    <mergeCell ref="B69:AE69"/>
    <mergeCell ref="B6:AE6"/>
    <mergeCell ref="B2:AH2"/>
    <mergeCell ref="B109:AE109"/>
    <mergeCell ref="B80:AE80"/>
    <mergeCell ref="B46:AE46"/>
    <mergeCell ref="B32:AE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/>
    <row r="2">
      <c r="B2" s="1" t="inlineStr">
        <is>
          <t>Answer Key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3"/>
    <row r="4">
      <c r="B4" s="6" t="inlineStr">
        <is>
          <t>═══ Encoder Hidden States ═══</t>
        </is>
      </c>
    </row>
    <row r="5">
      <c r="B5" s="8" t="inlineStr">
        <is>
          <t>h_1 ('I'):</t>
        </is>
      </c>
      <c r="E5" t="inlineStr">
        <is>
          <t>[0.0898, -0.0699, 0.2355]</t>
        </is>
      </c>
    </row>
    <row r="6">
      <c r="B6" s="8" t="inlineStr">
        <is>
          <t>h_2 ('love'):</t>
        </is>
      </c>
      <c r="E6" t="inlineStr">
        <is>
          <t>[0.3429, -0.0528, 0.273]</t>
        </is>
      </c>
    </row>
    <row r="7">
      <c r="B7" s="8" t="inlineStr">
        <is>
          <t>h_3 ('you'):</t>
        </is>
      </c>
      <c r="E7" t="inlineStr">
        <is>
          <t>[-0.014, 0.1824, -0.0206]</t>
        </is>
      </c>
    </row>
    <row r="8"/>
    <row r="9">
      <c r="B9" s="11" t="inlineStr">
        <is>
          <t>Context Vector:</t>
        </is>
      </c>
      <c r="E9" t="inlineStr">
        <is>
          <t>[-0.014, 0.1824, -0.0206]</t>
        </is>
      </c>
    </row>
    <row r="10"/>
    <row r="11">
      <c r="B11" s="7" t="inlineStr">
        <is>
          <t>═══ Decoder (Teacher Forcing) ═══</t>
        </is>
      </c>
    </row>
    <row r="12">
      <c r="B12" s="9" t="inlineStr">
        <is>
          <t>t=0:</t>
        </is>
      </c>
      <c r="C12" t="inlineStr">
        <is>
          <t>s_1=[0.068, 0.1643, 0.0428]</t>
        </is>
      </c>
    </row>
    <row r="13">
      <c r="C13" t="inlineStr">
        <is>
          <t>pred='I', target='I', loss=1.7387</t>
        </is>
      </c>
    </row>
    <row r="14">
      <c r="B14" s="9" t="inlineStr">
        <is>
          <t>t=1:</t>
        </is>
      </c>
      <c r="C14" t="inlineStr">
        <is>
          <t>s_2=[0.1764, 0.0103, 0.1974]</t>
        </is>
      </c>
    </row>
    <row r="15">
      <c r="C15" t="inlineStr">
        <is>
          <t>pred='&lt;PAD&gt;', target='you', loss=1.9112</t>
        </is>
      </c>
    </row>
    <row r="16">
      <c r="B16" s="9" t="inlineStr">
        <is>
          <t>t=2:</t>
        </is>
      </c>
      <c r="C16" t="inlineStr">
        <is>
          <t>s_3=[0.0045, 0.3663, -0.0065]</t>
        </is>
      </c>
    </row>
    <row r="17">
      <c r="C17" t="inlineStr">
        <is>
          <t>pred='&lt;SOS&gt;', target='love', loss=1.7365</t>
        </is>
      </c>
    </row>
    <row r="18">
      <c r="B18" s="9" t="inlineStr">
        <is>
          <t>t=3:</t>
        </is>
      </c>
      <c r="C18" t="inlineStr">
        <is>
          <t>s_4=[0.3268, -0.0677, -0.0377]</t>
        </is>
      </c>
    </row>
    <row r="19">
      <c r="C19" t="inlineStr">
        <is>
          <t>pred='&lt;PAD&gt;', target='&lt;EOS&gt;', loss=2.0414</t>
        </is>
      </c>
    </row>
    <row r="20"/>
    <row r="21">
      <c r="B21" s="15" t="inlineStr">
        <is>
          <t>Average Loss: 1.8569</t>
        </is>
      </c>
    </row>
    <row r="22"/>
    <row r="23">
      <c r="B23" s="7" t="inlineStr">
        <is>
          <t>═══ Decoder (Autoregressive) ═══</t>
        </is>
      </c>
    </row>
    <row r="24">
      <c r="B24" s="27" t="inlineStr">
        <is>
          <t>Predictions:</t>
        </is>
      </c>
      <c r="D24" t="inlineStr">
        <is>
          <t>I → &lt;PAD&gt; → &lt;PAD&gt; → I</t>
        </is>
      </c>
    </row>
    <row r="25">
      <c r="B25" s="27" t="inlineStr">
        <is>
          <t>Targets:</t>
        </is>
      </c>
      <c r="D25" t="inlineStr">
        <is>
          <t>I → you → love → &lt;EOS&gt;</t>
        </is>
      </c>
    </row>
  </sheetData>
  <mergeCells count="1"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2026-01-20T06:50:39Z</dcterms:created>
  <dcterms:modified xmlns:dcterms="http://purl.org/dc/terms/" xmlns:xsi="http://www.w3.org/2001/XMLSchema-instance" xsi:type="dcterms:W3CDTF">2026-01-20T08:29:03Z</dcterms:modified>
</cp:coreProperties>
</file>