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ihwankim/Downloads/Excel-worksheets 2/"/>
    </mc:Choice>
  </mc:AlternateContent>
  <xr:revisionPtr revIDLastSave="0" documentId="13_ncr:1_{0F1476F8-06EB-D444-8D6F-FF461CE404A1}" xr6:coauthVersionLast="47" xr6:coauthVersionMax="47" xr10:uidLastSave="{00000000-0000-0000-0000-000000000000}"/>
  <bookViews>
    <workbookView xWindow="4300" yWindow="680" windowWidth="29900" windowHeight="19580" activeTab="7" xr2:uid="{00000000-000D-0000-FFFF-FFFF00000000}"/>
  </bookViews>
  <sheets>
    <sheet name="Overview" sheetId="1" r:id="rId1"/>
    <sheet name="Original_Data" sheetId="2" r:id="rId2"/>
    <sheet name="Standardization" sheetId="3" r:id="rId3"/>
    <sheet name="Correlation_Matrix" sheetId="4" r:id="rId4"/>
    <sheet name="Eigendecomposition" sheetId="5" r:id="rId5"/>
    <sheet name="Projection" sheetId="6" r:id="rId6"/>
    <sheet name="Scatter_Plot" sheetId="7" r:id="rId7"/>
    <sheet name="Answer_Key" sheetId="8" r:id="rId8"/>
  </sheets>
  <calcPr calcId="0"/>
</workbook>
</file>

<file path=xl/sharedStrings.xml><?xml version="1.0" encoding="utf-8"?>
<sst xmlns="http://schemas.openxmlformats.org/spreadsheetml/2006/main" count="224" uniqueCount="125">
  <si>
    <t>[Description] Principal Component Analysis (PCA) - unsupervised dimensionality reduction by finding directions of maximum variance.</t>
  </si>
  <si>
    <t>PCA (Principal Component Analysis) - Dimensionality Reduction</t>
  </si>
  <si>
    <t>PCA transforms high-dimensional data to low dimensions while preserving variance (information)</t>
  </si>
  <si>
    <t>═══ Goal ═══</t>
  </si>
  <si>
    <t>5D Data → 2D Data (for visualization)</t>
  </si>
  <si>
    <t>Original: 5 features × 8 samples</t>
  </si>
  <si>
    <t>Reduced: 2 principal components</t>
  </si>
  <si>
    <t>═══ PCA Steps ═══</t>
  </si>
  <si>
    <t>1. Standardize: z = (x - μ) / σ</t>
  </si>
  <si>
    <t>2. Compute Correlation/Covariance Matrix</t>
  </si>
  <si>
    <t>3. Eigendecomposition → Eigenvalues &amp; Eigenvectors</t>
  </si>
  <si>
    <t>4. Sort by Eigenvalue (variance explained)</t>
  </si>
  <si>
    <t>5. Select Top k Eigenvectors (here k=2)</t>
  </si>
  <si>
    <t>6. Project: Z = X_std @ V_k</t>
  </si>
  <si>
    <t>═══ Features ═══</t>
  </si>
  <si>
    <t>X1: Height</t>
  </si>
  <si>
    <t>X2: Weight</t>
  </si>
  <si>
    <t>X3: Age</t>
  </si>
  <si>
    <t>X4: Income</t>
  </si>
  <si>
    <t>X5: Score</t>
  </si>
  <si>
    <t>Classes: A (orange), B (blue)</t>
  </si>
  <si>
    <t>[Description] Original high-dimensional data: Each row is a sample, each column is a feature.</t>
  </si>
  <si>
    <t>Original 5D Data (8 samples, 2 classes)</t>
  </si>
  <si>
    <t>Sample</t>
  </si>
  <si>
    <t>Class</t>
  </si>
  <si>
    <t>Height</t>
  </si>
  <si>
    <t>Weight</t>
  </si>
  <si>
    <t>Age</t>
  </si>
  <si>
    <t>Income</t>
  </si>
  <si>
    <t>Score</t>
  </si>
  <si>
    <t>S1</t>
  </si>
  <si>
    <t>A</t>
  </si>
  <si>
    <t>S2</t>
  </si>
  <si>
    <t>S3</t>
  </si>
  <si>
    <t>S4</t>
  </si>
  <si>
    <t>S5</t>
  </si>
  <si>
    <t>B</t>
  </si>
  <si>
    <t>S6</t>
  </si>
  <si>
    <t>S7</t>
  </si>
  <si>
    <t>S8</t>
  </si>
  <si>
    <t>═══ Statistics ═══</t>
  </si>
  <si>
    <t>Mean (μ)</t>
  </si>
  <si>
    <t>Std (σ)</t>
  </si>
  <si>
    <t>[Description] Standardize features (zero mean, unit variance) so all features contribute equally to PCA.</t>
  </si>
  <si>
    <t>Step 1: Standardization (Z-score Normalization)</t>
  </si>
  <si>
    <t>z = (x - μ) / σ  →  mean=0, std=1 for each feature</t>
  </si>
  <si>
    <t>═══ Example Calculation (Sample 1, Height) ═══</t>
  </si>
  <si>
    <t>x = 175, μ = 170.0, σ = 7.43</t>
  </si>
  <si>
    <t>z = (175 - 170.0) / 7.43 = 0.6733</t>
  </si>
  <si>
    <t>═══ Standardized Data ═══</t>
  </si>
  <si>
    <t>✓ Each column mean ≈ 0, std ≈ 1</t>
  </si>
  <si>
    <t>[Description] Correlation/Covariance matrix captures relationships between features. PCA finds its eigenvectors.</t>
  </si>
  <si>
    <t>Step 2: Correlation Matrix (Covariance of Standardized Data)</t>
  </si>
  <si>
    <t>Corr(i,j) = (1/(n-1)) × Σ z_i × z_j</t>
  </si>
  <si>
    <t>═══ Correlation Matrix (5×5) ═══</t>
  </si>
  <si>
    <t>Diagonal = 1.0 (correlation with itself)</t>
  </si>
  <si>
    <t>Symmetric matrix: Corr(i,j) = Corr(j,i)</t>
  </si>
  <si>
    <t>[Description] Eigendecomposition: Eigenvectors are principal components, eigenvalues indicate variance explained.</t>
  </si>
  <si>
    <t>Step 3-4: Eigendecomposition &amp; Sorting</t>
  </si>
  <si>
    <t>Correlation Matrix @ v = λ × v</t>
  </si>
  <si>
    <t>λ = Eigenvalue (variance), v = Eigenvector (direction)</t>
  </si>
  <si>
    <t>═══ Eigenvalues (Sorted by Variance) ═══</t>
  </si>
  <si>
    <t>PC</t>
  </si>
  <si>
    <t>Eigenvalue</t>
  </si>
  <si>
    <t>Variance %</t>
  </si>
  <si>
    <t>Cumulative %</t>
  </si>
  <si>
    <t>PC1</t>
  </si>
  <si>
    <t>49.0%</t>
  </si>
  <si>
    <t>← Selected</t>
  </si>
  <si>
    <t>PC2</t>
  </si>
  <si>
    <t>27.0%</t>
  </si>
  <si>
    <t>76.0%</t>
  </si>
  <si>
    <t>PC3</t>
  </si>
  <si>
    <t>14.4%</t>
  </si>
  <si>
    <t>90.4%</t>
  </si>
  <si>
    <t>PC4</t>
  </si>
  <si>
    <t>6.6%</t>
  </si>
  <si>
    <t>97.0%</t>
  </si>
  <si>
    <t>PC5</t>
  </si>
  <si>
    <t>3.0%</t>
  </si>
  <si>
    <t>100.0%</t>
  </si>
  <si>
    <t>═══ Eigenvectors (Principal Components) ═══</t>
  </si>
  <si>
    <t>Feature</t>
  </si>
  <si>
    <t>PC1 + PC2 explains ~76% of variance</t>
  </si>
  <si>
    <t>[Description] Project data onto top-k principal components to get lower-dimensional representation.</t>
  </si>
  <si>
    <t>Step 5-6: Project to 2D (PC1, PC2)</t>
  </si>
  <si>
    <t>PC1_score = Σ (z_j × PC1[j])</t>
  </si>
  <si>
    <t>PC2_score = Σ (z_j × PC2[j])</t>
  </si>
  <si>
    <t>═══ Example: Sample 1 ═══</t>
  </si>
  <si>
    <t>z (std)</t>
  </si>
  <si>
    <t>z×PC1</t>
  </si>
  <si>
    <t>z×PC2</t>
  </si>
  <si>
    <t>Sum</t>
  </si>
  <si>
    <t>═══ All Samples Projected to 2D ═══</t>
  </si>
  <si>
    <t>[Description] Visualize projected data: 2D scatter plot shows how well principal components separate the data.</t>
  </si>
  <si>
    <t>2D Scatter Plot Data (Ready for Visualization)</t>
  </si>
  <si>
    <t>You can draw a Scatter Plot using the data below</t>
  </si>
  <si>
    <t>Excel: Insert → Chart → Scatter</t>
  </si>
  <si>
    <t>═══ Scatter Plot Data ═══</t>
  </si>
  <si>
    <t>PC1 (X)</t>
  </si>
  <si>
    <t>PC2 (Y)</t>
  </si>
  <si>
    <t>═══ Class A (Orange) ═══</t>
  </si>
  <si>
    <t>═══ Class B (Blue) ═══</t>
  </si>
  <si>
    <t>═══ Interpretation ═══</t>
  </si>
  <si>
    <t>• Class A (orange): Positive PC1 values (high features)</t>
  </si>
  <si>
    <t>• Class B (blue): Negative PC1 values (low features)</t>
  </si>
  <si>
    <t>• PCA separates the two classes well!</t>
  </si>
  <si>
    <t>[Description] Reference solutions for self-checking your calculations.</t>
  </si>
  <si>
    <t>Answer Key - PCA Summary</t>
  </si>
  <si>
    <t>Means: [170.0, 63.75, 32.5, 46250.0, 76.75]</t>
  </si>
  <si>
    <t>Stds: [7.43, 8.56, 7.33, 11170.75, 10.83]</t>
  </si>
  <si>
    <t>═══ Eigenvectors ═══</t>
  </si>
  <si>
    <t>PC1: [0.4472, 0.4472, 0.4472, 0.4472, 0.4472]</t>
  </si>
  <si>
    <t>PC2: [0.5, 0.4, -0.3, 0.5, 0.5]</t>
  </si>
  <si>
    <t>═══ Projected Scores ═══</t>
  </si>
  <si>
    <t>S1 (A): PC1=1.4709, PC2=1.2986</t>
  </si>
  <si>
    <t>S2 (A): PC1=2.7448, PC2=2.1187</t>
  </si>
  <si>
    <t>S3 (A): PC1=1.1249, PC2=0.6077</t>
  </si>
  <si>
    <t>S4 (A): PC1=2.4271, PC2=1.5803</t>
  </si>
  <si>
    <t>S5 (B): PC1=-2.4522, PC2=-1.8208</t>
  </si>
  <si>
    <t>S6 (B): PC1=-1.4849, PC2=-1.1018</t>
  </si>
  <si>
    <t>S7 (B): PC1=-2.9154, PC2=-1.9762</t>
  </si>
  <si>
    <t>S8 (B): PC1=-0.9151, PC2=-0.7064</t>
  </si>
  <si>
    <t>═══ Variance Explained ═══</t>
  </si>
  <si>
    <t>PC1: ~49%, PC2: ~27%, Total: ~76%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</si>
</sst>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i/>
      <sz val="10"/>
      <color rgb="FF505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E4DFEC"/>
        <bgColor rgb="FFE4DFEC"/>
      </patternFill>
    </fill>
    <fill>
      <patternFill patternType="solid">
        <fgColor rgb="FFDAEEF3"/>
        <bgColor rgb="FFDAEEF3"/>
      </patternFill>
    </fill>
    <fill>
      <patternFill patternType="solid">
        <fgColor rgb="FFD8E4BC"/>
        <bgColor rgb="FFD8E4BC"/>
      </patternFill>
    </fill>
    <fill>
      <patternFill patternType="solid">
        <fgColor rgb="FFFFB366"/>
        <bgColor rgb="FFFFB366"/>
      </patternFill>
    </fill>
    <fill>
      <patternFill patternType="solid">
        <fgColor rgb="FF66B3FF"/>
        <bgColor rgb="FF66B3FF"/>
      </patternFill>
    </fill>
    <fill>
      <patternFill patternType="solid">
        <fgColor rgb="FFFDE9D9"/>
        <bgColor rgb="FFFDE9D9"/>
      </patternFill>
    </fill>
    <fill>
      <patternFill patternType="solid">
        <fgColor rgb="FFFF9999"/>
        <bgColor rgb="FFFF9999"/>
      </patternFill>
    </fill>
    <fill>
      <patternFill patternType="solid">
        <fgColor rgb="FF99FF99"/>
        <bgColor rgb="FF99FF99"/>
      </patternFill>
    </fill>
    <fill>
      <patternFill patternType="solid">
        <fgColor rgb="FFF0F8FF"/>
        <bgColor rgb="FFF0F8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0" xfId="0" applyFill="1"/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11" borderId="0" xfId="0" applyFont="1" applyFill="1" applyAlignment="1">
      <alignment wrapText="1"/>
    </xf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5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PCA: 5D → 2D Projection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Class A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Scatter_Plot!$B$23:$B$26</c:f>
              <c:numCache>
                <c:formatCode>General</c:formatCode>
                <c:ptCount val="4"/>
                <c:pt idx="0">
                  <c:v>1.4709000000000001</c:v>
                </c:pt>
                <c:pt idx="1">
                  <c:v>2.7448000000000001</c:v>
                </c:pt>
                <c:pt idx="2">
                  <c:v>1.1249</c:v>
                </c:pt>
                <c:pt idx="3">
                  <c:v>2.4270999999999998</c:v>
                </c:pt>
              </c:numCache>
            </c:numRef>
          </c:xVal>
          <c:yVal>
            <c:numRef>
              <c:f>Scatter_Plot!$C$23:$C$26</c:f>
              <c:numCache>
                <c:formatCode>General</c:formatCode>
                <c:ptCount val="4"/>
                <c:pt idx="0">
                  <c:v>1.2986</c:v>
                </c:pt>
                <c:pt idx="1">
                  <c:v>2.1187</c:v>
                </c:pt>
                <c:pt idx="2">
                  <c:v>0.60770000000000002</c:v>
                </c:pt>
                <c:pt idx="3">
                  <c:v>1.5803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69-3A4C-A843-C767DE659B1C}"/>
            </c:ext>
          </c:extLst>
        </c:ser>
        <c:ser>
          <c:idx val="1"/>
          <c:order val="1"/>
          <c:tx>
            <c:v>Class B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Scatter_Plot!$B$30:$B$33</c:f>
              <c:numCache>
                <c:formatCode>General</c:formatCode>
                <c:ptCount val="4"/>
                <c:pt idx="0">
                  <c:v>-2.4521999999999999</c:v>
                </c:pt>
                <c:pt idx="1">
                  <c:v>-1.4849000000000001</c:v>
                </c:pt>
                <c:pt idx="2">
                  <c:v>-2.9154</c:v>
                </c:pt>
                <c:pt idx="3">
                  <c:v>-0.91510000000000002</c:v>
                </c:pt>
              </c:numCache>
            </c:numRef>
          </c:xVal>
          <c:yVal>
            <c:numRef>
              <c:f>Scatter_Plot!$C$30:$C$33</c:f>
              <c:numCache>
                <c:formatCode>General</c:formatCode>
                <c:ptCount val="4"/>
                <c:pt idx="0">
                  <c:v>-1.8208</c:v>
                </c:pt>
                <c:pt idx="1">
                  <c:v>-1.1017999999999999</c:v>
                </c:pt>
                <c:pt idx="2">
                  <c:v>-1.9762</c:v>
                </c:pt>
                <c:pt idx="3">
                  <c:v>-0.70640000000000003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69-3A4C-A843-C767DE659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PC1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PC2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1"/>
  <sheetViews>
    <sheetView workbookViewId="0">
      <selection sqref="A1:J1"/>
    </sheetView>
  </sheetViews>
  <sheetFormatPr baseColWidth="10" defaultColWidth="8.83203125" defaultRowHeight="15" x14ac:dyDescent="0.2"/>
  <cols>
    <col min="1" max="1" width="10" customWidth="1"/>
    <col min="2" max="2" width="48" customWidth="1"/>
    <col min="3" max="19" width="10" customWidth="1"/>
  </cols>
  <sheetData>
    <row r="1" spans="1:21" x14ac:dyDescent="0.2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</row>
    <row r="2" spans="1:21" x14ac:dyDescent="0.2">
      <c r="B2" s="35" t="s">
        <v>1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2"/>
    </row>
    <row r="4" spans="1:21" x14ac:dyDescent="0.2">
      <c r="B4" s="2" t="s">
        <v>2</v>
      </c>
    </row>
    <row r="6" spans="1:21" x14ac:dyDescent="0.2">
      <c r="B6" s="34" t="s">
        <v>3</v>
      </c>
      <c r="C6" s="31"/>
      <c r="D6" s="31"/>
      <c r="E6" s="31"/>
      <c r="F6" s="31"/>
      <c r="G6" s="31"/>
      <c r="H6" s="31"/>
      <c r="I6" s="31"/>
      <c r="J6" s="31"/>
      <c r="K6" s="32"/>
    </row>
    <row r="8" spans="1:21" x14ac:dyDescent="0.2">
      <c r="B8" s="4" t="s">
        <v>4</v>
      </c>
    </row>
    <row r="9" spans="1:21" x14ac:dyDescent="0.2">
      <c r="B9" s="2" t="s">
        <v>5</v>
      </c>
    </row>
    <row r="10" spans="1:21" x14ac:dyDescent="0.2">
      <c r="B10" s="2" t="s">
        <v>6</v>
      </c>
    </row>
    <row r="13" spans="1:21" x14ac:dyDescent="0.2">
      <c r="B13" s="33" t="s">
        <v>7</v>
      </c>
      <c r="C13" s="31"/>
      <c r="D13" s="31"/>
      <c r="E13" s="31"/>
      <c r="F13" s="31"/>
      <c r="G13" s="31"/>
      <c r="H13" s="31"/>
      <c r="I13" s="31"/>
      <c r="J13" s="31"/>
      <c r="K13" s="32"/>
    </row>
    <row r="15" spans="1:21" x14ac:dyDescent="0.2">
      <c r="B15" s="6" t="s">
        <v>8</v>
      </c>
    </row>
    <row r="16" spans="1:21" x14ac:dyDescent="0.2">
      <c r="B16" s="6" t="s">
        <v>9</v>
      </c>
    </row>
    <row r="17" spans="2:11" x14ac:dyDescent="0.2">
      <c r="B17" s="6" t="s">
        <v>10</v>
      </c>
    </row>
    <row r="18" spans="2:11" x14ac:dyDescent="0.2">
      <c r="B18" s="6" t="s">
        <v>11</v>
      </c>
    </row>
    <row r="19" spans="2:11" x14ac:dyDescent="0.2">
      <c r="B19" s="6" t="s">
        <v>12</v>
      </c>
    </row>
    <row r="20" spans="2:11" x14ac:dyDescent="0.2">
      <c r="B20" s="6" t="s">
        <v>13</v>
      </c>
    </row>
    <row r="23" spans="2:11" x14ac:dyDescent="0.2">
      <c r="B23" s="30" t="s">
        <v>14</v>
      </c>
      <c r="C23" s="31"/>
      <c r="D23" s="31"/>
      <c r="E23" s="31"/>
      <c r="F23" s="31"/>
      <c r="G23" s="31"/>
      <c r="H23" s="31"/>
      <c r="I23" s="31"/>
      <c r="J23" s="31"/>
      <c r="K23" s="32"/>
    </row>
    <row r="25" spans="2:11" x14ac:dyDescent="0.2">
      <c r="B25" s="7" t="s">
        <v>15</v>
      </c>
    </row>
    <row r="26" spans="2:11" x14ac:dyDescent="0.2">
      <c r="B26" s="7" t="s">
        <v>16</v>
      </c>
    </row>
    <row r="27" spans="2:11" x14ac:dyDescent="0.2">
      <c r="B27" s="7" t="s">
        <v>17</v>
      </c>
    </row>
    <row r="28" spans="2:11" x14ac:dyDescent="0.2">
      <c r="B28" s="7" t="s">
        <v>18</v>
      </c>
    </row>
    <row r="29" spans="2:11" x14ac:dyDescent="0.2">
      <c r="B29" s="7" t="s">
        <v>19</v>
      </c>
    </row>
    <row r="31" spans="2:11" x14ac:dyDescent="0.2">
      <c r="B31" s="2" t="s">
        <v>20</v>
      </c>
    </row>
  </sheetData>
  <mergeCells count="5">
    <mergeCell ref="A1:J1"/>
    <mergeCell ref="B23:K23"/>
    <mergeCell ref="B13:K13"/>
    <mergeCell ref="B6:K6"/>
    <mergeCell ref="B2:U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8"/>
  <sheetViews>
    <sheetView workbookViewId="0">
      <selection sqref="A1:J1"/>
    </sheetView>
  </sheetViews>
  <sheetFormatPr baseColWidth="10" defaultColWidth="8.83203125" defaultRowHeight="15" x14ac:dyDescent="0.2"/>
  <cols>
    <col min="1" max="11" width="10" customWidth="1"/>
  </cols>
  <sheetData>
    <row r="1" spans="1:14" x14ac:dyDescent="0.2">
      <c r="A1" s="28" t="s">
        <v>21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x14ac:dyDescent="0.2">
      <c r="B2" s="30" t="s">
        <v>22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</row>
    <row r="4" spans="1:14" x14ac:dyDescent="0.2">
      <c r="B4" s="1" t="s">
        <v>23</v>
      </c>
      <c r="C4" s="1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</row>
    <row r="5" spans="1:14" x14ac:dyDescent="0.2">
      <c r="B5" s="8" t="s">
        <v>30</v>
      </c>
      <c r="C5" s="8" t="s">
        <v>31</v>
      </c>
      <c r="D5" s="9">
        <v>175</v>
      </c>
      <c r="E5" s="9">
        <v>70</v>
      </c>
      <c r="F5" s="9">
        <v>35</v>
      </c>
      <c r="G5" s="9">
        <v>55000</v>
      </c>
      <c r="H5" s="9">
        <v>85</v>
      </c>
    </row>
    <row r="6" spans="1:14" x14ac:dyDescent="0.2">
      <c r="B6" s="8" t="s">
        <v>32</v>
      </c>
      <c r="C6" s="8" t="s">
        <v>31</v>
      </c>
      <c r="D6" s="9">
        <v>180</v>
      </c>
      <c r="E6" s="9">
        <v>75</v>
      </c>
      <c r="F6" s="9">
        <v>40</v>
      </c>
      <c r="G6" s="9">
        <v>60000</v>
      </c>
      <c r="H6" s="9">
        <v>90</v>
      </c>
    </row>
    <row r="7" spans="1:14" x14ac:dyDescent="0.2">
      <c r="B7" s="8" t="s">
        <v>33</v>
      </c>
      <c r="C7" s="8" t="s">
        <v>31</v>
      </c>
      <c r="D7" s="9">
        <v>172</v>
      </c>
      <c r="E7" s="9">
        <v>68</v>
      </c>
      <c r="F7" s="9">
        <v>38</v>
      </c>
      <c r="G7" s="9">
        <v>52000</v>
      </c>
      <c r="H7" s="9">
        <v>82</v>
      </c>
    </row>
    <row r="8" spans="1:14" x14ac:dyDescent="0.2">
      <c r="B8" s="8" t="s">
        <v>34</v>
      </c>
      <c r="C8" s="8" t="s">
        <v>31</v>
      </c>
      <c r="D8" s="9">
        <v>178</v>
      </c>
      <c r="E8" s="9">
        <v>72</v>
      </c>
      <c r="F8" s="9">
        <v>42</v>
      </c>
      <c r="G8" s="9">
        <v>58000</v>
      </c>
      <c r="H8" s="9">
        <v>88</v>
      </c>
    </row>
    <row r="9" spans="1:14" x14ac:dyDescent="0.2">
      <c r="B9" s="10" t="s">
        <v>35</v>
      </c>
      <c r="C9" s="10" t="s">
        <v>36</v>
      </c>
      <c r="D9" s="9">
        <v>160</v>
      </c>
      <c r="E9" s="9">
        <v>55</v>
      </c>
      <c r="F9" s="9">
        <v>25</v>
      </c>
      <c r="G9" s="9">
        <v>35000</v>
      </c>
      <c r="H9" s="9">
        <v>65</v>
      </c>
    </row>
    <row r="10" spans="1:14" x14ac:dyDescent="0.2">
      <c r="B10" s="10" t="s">
        <v>37</v>
      </c>
      <c r="C10" s="10" t="s">
        <v>36</v>
      </c>
      <c r="D10" s="9">
        <v>165</v>
      </c>
      <c r="E10" s="9">
        <v>58</v>
      </c>
      <c r="F10" s="9">
        <v>28</v>
      </c>
      <c r="G10" s="9">
        <v>38000</v>
      </c>
      <c r="H10" s="9">
        <v>70</v>
      </c>
    </row>
    <row r="11" spans="1:14" x14ac:dyDescent="0.2">
      <c r="B11" s="10" t="s">
        <v>38</v>
      </c>
      <c r="C11" s="10" t="s">
        <v>36</v>
      </c>
      <c r="D11" s="9">
        <v>162</v>
      </c>
      <c r="E11" s="9">
        <v>52</v>
      </c>
      <c r="F11" s="9">
        <v>22</v>
      </c>
      <c r="G11" s="9">
        <v>32000</v>
      </c>
      <c r="H11" s="9">
        <v>62</v>
      </c>
    </row>
    <row r="12" spans="1:14" x14ac:dyDescent="0.2">
      <c r="B12" s="10" t="s">
        <v>39</v>
      </c>
      <c r="C12" s="10" t="s">
        <v>36</v>
      </c>
      <c r="D12" s="9">
        <v>168</v>
      </c>
      <c r="E12" s="9">
        <v>60</v>
      </c>
      <c r="F12" s="9">
        <v>30</v>
      </c>
      <c r="G12" s="9">
        <v>40000</v>
      </c>
      <c r="H12" s="9">
        <v>72</v>
      </c>
    </row>
    <row r="15" spans="1:14" x14ac:dyDescent="0.2">
      <c r="B15" s="33" t="s">
        <v>40</v>
      </c>
      <c r="C15" s="31"/>
      <c r="D15" s="31"/>
      <c r="E15" s="31"/>
      <c r="F15" s="31"/>
      <c r="G15" s="31"/>
      <c r="H15" s="31"/>
      <c r="I15" s="32"/>
    </row>
    <row r="17" spans="2:8" x14ac:dyDescent="0.2">
      <c r="B17" s="5" t="s">
        <v>41</v>
      </c>
      <c r="C17" s="9"/>
      <c r="D17" s="11">
        <v>170</v>
      </c>
      <c r="E17" s="11">
        <v>63.75</v>
      </c>
      <c r="F17" s="11">
        <v>32.5</v>
      </c>
      <c r="G17" s="11">
        <v>46250</v>
      </c>
      <c r="H17" s="11">
        <v>76.75</v>
      </c>
    </row>
    <row r="18" spans="2:8" x14ac:dyDescent="0.2">
      <c r="B18" s="5" t="s">
        <v>42</v>
      </c>
      <c r="C18" s="9"/>
      <c r="D18" s="11">
        <v>7.43</v>
      </c>
      <c r="E18" s="11">
        <v>8.56</v>
      </c>
      <c r="F18" s="11">
        <v>7.33</v>
      </c>
      <c r="G18" s="11">
        <v>11170.75</v>
      </c>
      <c r="H18" s="11">
        <v>10.83</v>
      </c>
    </row>
  </sheetData>
  <mergeCells count="3">
    <mergeCell ref="A1:J1"/>
    <mergeCell ref="B2:N2"/>
    <mergeCell ref="B15:I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6"/>
  <sheetViews>
    <sheetView workbookViewId="0">
      <selection sqref="A1:J1"/>
    </sheetView>
  </sheetViews>
  <sheetFormatPr baseColWidth="10" defaultColWidth="8.83203125" defaultRowHeight="15" x14ac:dyDescent="0.2"/>
  <cols>
    <col min="1" max="1" width="10" customWidth="1"/>
    <col min="2" max="2" width="28.6640625" customWidth="1"/>
    <col min="3" max="11" width="10" customWidth="1"/>
  </cols>
  <sheetData>
    <row r="1" spans="1:14" x14ac:dyDescent="0.2">
      <c r="A1" s="28" t="s">
        <v>43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x14ac:dyDescent="0.2">
      <c r="B2" s="33" t="s">
        <v>44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</row>
    <row r="4" spans="1:14" x14ac:dyDescent="0.2">
      <c r="B4" s="2" t="s">
        <v>45</v>
      </c>
    </row>
    <row r="7" spans="1:14" x14ac:dyDescent="0.2">
      <c r="B7" s="36" t="s">
        <v>46</v>
      </c>
      <c r="C7" s="31"/>
      <c r="D7" s="31"/>
      <c r="E7" s="31"/>
      <c r="F7" s="31"/>
      <c r="G7" s="31"/>
      <c r="H7" s="31"/>
      <c r="I7" s="31"/>
      <c r="J7" s="31"/>
      <c r="K7" s="31"/>
      <c r="L7" s="32"/>
    </row>
    <row r="9" spans="1:14" x14ac:dyDescent="0.2">
      <c r="B9" s="2" t="s">
        <v>47</v>
      </c>
    </row>
    <row r="10" spans="1:14" x14ac:dyDescent="0.2">
      <c r="B10" s="13" t="s">
        <v>48</v>
      </c>
    </row>
    <row r="13" spans="1:14" x14ac:dyDescent="0.2">
      <c r="B13" s="33" t="s">
        <v>49</v>
      </c>
      <c r="C13" s="31"/>
      <c r="D13" s="31"/>
      <c r="E13" s="31"/>
      <c r="F13" s="31"/>
      <c r="G13" s="31"/>
      <c r="H13" s="31"/>
      <c r="I13" s="31"/>
      <c r="J13" s="31"/>
      <c r="K13" s="31"/>
      <c r="L13" s="32"/>
    </row>
    <row r="15" spans="1:14" x14ac:dyDescent="0.2">
      <c r="B15" s="1" t="s">
        <v>23</v>
      </c>
      <c r="C15" s="1" t="s">
        <v>24</v>
      </c>
      <c r="D15" s="5" t="s">
        <v>25</v>
      </c>
      <c r="E15" s="5" t="s">
        <v>26</v>
      </c>
      <c r="F15" s="5" t="s">
        <v>27</v>
      </c>
      <c r="G15" s="5" t="s">
        <v>28</v>
      </c>
      <c r="H15" s="5" t="s">
        <v>29</v>
      </c>
    </row>
    <row r="16" spans="1:14" x14ac:dyDescent="0.2">
      <c r="B16" s="8" t="s">
        <v>30</v>
      </c>
      <c r="C16" s="8" t="s">
        <v>31</v>
      </c>
      <c r="D16" s="11">
        <v>0.67330000000000001</v>
      </c>
      <c r="E16" s="11">
        <v>0.72970000000000002</v>
      </c>
      <c r="F16" s="11">
        <v>0.34110000000000001</v>
      </c>
      <c r="G16" s="11">
        <v>0.7833</v>
      </c>
      <c r="H16" s="11">
        <v>0.76160000000000005</v>
      </c>
    </row>
    <row r="17" spans="2:8" x14ac:dyDescent="0.2">
      <c r="B17" s="8" t="s">
        <v>32</v>
      </c>
      <c r="C17" s="8" t="s">
        <v>31</v>
      </c>
      <c r="D17" s="11">
        <v>1.3467</v>
      </c>
      <c r="E17" s="11">
        <v>1.3134999999999999</v>
      </c>
      <c r="F17" s="11">
        <v>1.0233000000000001</v>
      </c>
      <c r="G17" s="11">
        <v>1.2309000000000001</v>
      </c>
      <c r="H17" s="11">
        <v>1.2231000000000001</v>
      </c>
    </row>
    <row r="18" spans="2:8" x14ac:dyDescent="0.2">
      <c r="B18" s="8" t="s">
        <v>33</v>
      </c>
      <c r="C18" s="8" t="s">
        <v>31</v>
      </c>
      <c r="D18" s="11">
        <v>0.26929999999999998</v>
      </c>
      <c r="E18" s="11">
        <v>0.49619999999999997</v>
      </c>
      <c r="F18" s="11">
        <v>0.75039999999999996</v>
      </c>
      <c r="G18" s="11">
        <v>0.51470000000000005</v>
      </c>
      <c r="H18" s="11">
        <v>0.48459999999999998</v>
      </c>
    </row>
    <row r="19" spans="2:8" x14ac:dyDescent="0.2">
      <c r="B19" s="8" t="s">
        <v>34</v>
      </c>
      <c r="C19" s="8" t="s">
        <v>31</v>
      </c>
      <c r="D19" s="11">
        <v>1.0772999999999999</v>
      </c>
      <c r="E19" s="11">
        <v>0.96319999999999995</v>
      </c>
      <c r="F19" s="11">
        <v>1.2962</v>
      </c>
      <c r="G19" s="11">
        <v>1.0519000000000001</v>
      </c>
      <c r="H19" s="11">
        <v>1.0385</v>
      </c>
    </row>
    <row r="20" spans="2:8" x14ac:dyDescent="0.2">
      <c r="B20" s="10" t="s">
        <v>35</v>
      </c>
      <c r="C20" s="10" t="s">
        <v>36</v>
      </c>
      <c r="D20" s="11">
        <v>-1.3467</v>
      </c>
      <c r="E20" s="11">
        <v>-1.0216000000000001</v>
      </c>
      <c r="F20" s="11">
        <v>-1.0233000000000001</v>
      </c>
      <c r="G20" s="11">
        <v>-1.0071000000000001</v>
      </c>
      <c r="H20" s="11">
        <v>-1.0846</v>
      </c>
    </row>
    <row r="21" spans="2:8" x14ac:dyDescent="0.2">
      <c r="B21" s="10" t="s">
        <v>37</v>
      </c>
      <c r="C21" s="10" t="s">
        <v>36</v>
      </c>
      <c r="D21" s="11">
        <v>-0.67330000000000001</v>
      </c>
      <c r="E21" s="11">
        <v>-0.67130000000000001</v>
      </c>
      <c r="F21" s="11">
        <v>-0.61399999999999999</v>
      </c>
      <c r="G21" s="11">
        <v>-0.73850000000000005</v>
      </c>
      <c r="H21" s="11">
        <v>-0.62309999999999999</v>
      </c>
    </row>
    <row r="22" spans="2:8" x14ac:dyDescent="0.2">
      <c r="B22" s="10" t="s">
        <v>38</v>
      </c>
      <c r="C22" s="10" t="s">
        <v>36</v>
      </c>
      <c r="D22" s="11">
        <v>-1.0772999999999999</v>
      </c>
      <c r="E22" s="11">
        <v>-1.3718999999999999</v>
      </c>
      <c r="F22" s="11">
        <v>-1.4327000000000001</v>
      </c>
      <c r="G22" s="11">
        <v>-1.2757000000000001</v>
      </c>
      <c r="H22" s="11">
        <v>-1.3615999999999999</v>
      </c>
    </row>
    <row r="23" spans="2:8" x14ac:dyDescent="0.2">
      <c r="B23" s="10" t="s">
        <v>39</v>
      </c>
      <c r="C23" s="10" t="s">
        <v>36</v>
      </c>
      <c r="D23" s="11">
        <v>-0.26929999999999998</v>
      </c>
      <c r="E23" s="11">
        <v>-0.43780000000000002</v>
      </c>
      <c r="F23" s="11">
        <v>-0.34110000000000001</v>
      </c>
      <c r="G23" s="11">
        <v>-0.5595</v>
      </c>
      <c r="H23" s="11">
        <v>-0.4385</v>
      </c>
    </row>
    <row r="26" spans="2:8" x14ac:dyDescent="0.2">
      <c r="B26" s="2" t="s">
        <v>50</v>
      </c>
    </row>
  </sheetData>
  <mergeCells count="4">
    <mergeCell ref="A1:J1"/>
    <mergeCell ref="B2:N2"/>
    <mergeCell ref="B7:L7"/>
    <mergeCell ref="B13:L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8"/>
  <sheetViews>
    <sheetView workbookViewId="0">
      <selection activeCell="G22" sqref="G22"/>
    </sheetView>
  </sheetViews>
  <sheetFormatPr baseColWidth="10" defaultColWidth="8.83203125" defaultRowHeight="15" x14ac:dyDescent="0.2"/>
  <cols>
    <col min="1" max="11" width="10" customWidth="1"/>
  </cols>
  <sheetData>
    <row r="1" spans="1:14" x14ac:dyDescent="0.2">
      <c r="A1" s="28" t="s">
        <v>51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x14ac:dyDescent="0.2">
      <c r="B2" s="36" t="s">
        <v>52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</row>
    <row r="4" spans="1:14" x14ac:dyDescent="0.2">
      <c r="B4" s="2" t="s">
        <v>53</v>
      </c>
    </row>
    <row r="7" spans="1:14" x14ac:dyDescent="0.2">
      <c r="B7" s="36" t="s">
        <v>54</v>
      </c>
      <c r="C7" s="31"/>
      <c r="D7" s="31"/>
      <c r="E7" s="31"/>
      <c r="F7" s="31"/>
      <c r="G7" s="31"/>
      <c r="H7" s="31"/>
      <c r="I7" s="32"/>
    </row>
    <row r="9" spans="1:14" x14ac:dyDescent="0.2">
      <c r="B9" s="9"/>
      <c r="C9" s="4" t="s">
        <v>25</v>
      </c>
      <c r="D9" s="4" t="s">
        <v>26</v>
      </c>
      <c r="E9" s="4" t="s">
        <v>27</v>
      </c>
      <c r="F9" s="4" t="s">
        <v>28</v>
      </c>
      <c r="G9" s="4" t="s">
        <v>29</v>
      </c>
    </row>
    <row r="10" spans="1:14" x14ac:dyDescent="0.2">
      <c r="B10" s="4" t="s">
        <v>25</v>
      </c>
      <c r="C10" s="13">
        <v>1</v>
      </c>
      <c r="D10" s="9">
        <v>0.97929999999999995</v>
      </c>
      <c r="E10" s="9">
        <v>0.9476</v>
      </c>
      <c r="F10" s="9">
        <v>0.97650000000000003</v>
      </c>
      <c r="G10" s="9">
        <v>0.98199999999999998</v>
      </c>
    </row>
    <row r="11" spans="1:14" x14ac:dyDescent="0.2">
      <c r="B11" s="4" t="s">
        <v>26</v>
      </c>
      <c r="C11" s="9">
        <v>0.97929999999999995</v>
      </c>
      <c r="D11" s="13">
        <v>1</v>
      </c>
      <c r="E11" s="9">
        <v>0.96950000000000003</v>
      </c>
      <c r="F11" s="9">
        <v>0.99670000000000003</v>
      </c>
      <c r="G11" s="9">
        <v>0.99850000000000005</v>
      </c>
    </row>
    <row r="12" spans="1:14" x14ac:dyDescent="0.2">
      <c r="B12" s="4" t="s">
        <v>27</v>
      </c>
      <c r="C12" s="9">
        <v>0.9476</v>
      </c>
      <c r="D12" s="9">
        <v>0.96950000000000003</v>
      </c>
      <c r="E12" s="13">
        <v>1</v>
      </c>
      <c r="F12" s="9">
        <v>0.96840000000000004</v>
      </c>
      <c r="G12" s="9">
        <v>0.97340000000000004</v>
      </c>
    </row>
    <row r="13" spans="1:14" x14ac:dyDescent="0.2">
      <c r="B13" s="4" t="s">
        <v>28</v>
      </c>
      <c r="C13" s="9">
        <v>0.97650000000000003</v>
      </c>
      <c r="D13" s="9">
        <v>0.99670000000000003</v>
      </c>
      <c r="E13" s="9">
        <v>0.96840000000000004</v>
      </c>
      <c r="F13" s="13">
        <v>1</v>
      </c>
      <c r="G13" s="9">
        <v>0.99690000000000001</v>
      </c>
    </row>
    <row r="14" spans="1:14" x14ac:dyDescent="0.2">
      <c r="B14" s="4" t="s">
        <v>29</v>
      </c>
      <c r="C14" s="9">
        <v>0.98199999999999998</v>
      </c>
      <c r="D14" s="9">
        <v>0.99850000000000005</v>
      </c>
      <c r="E14" s="9">
        <v>0.97340000000000004</v>
      </c>
      <c r="F14" s="9">
        <v>0.99690000000000001</v>
      </c>
      <c r="G14" s="13">
        <v>1</v>
      </c>
    </row>
    <row r="17" spans="2:2" x14ac:dyDescent="0.2">
      <c r="B17" s="2" t="s">
        <v>55</v>
      </c>
    </row>
    <row r="18" spans="2:2" x14ac:dyDescent="0.2">
      <c r="B18" s="2" t="s">
        <v>56</v>
      </c>
    </row>
  </sheetData>
  <mergeCells count="3">
    <mergeCell ref="B7:I7"/>
    <mergeCell ref="A1:J1"/>
    <mergeCell ref="B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8"/>
  <sheetViews>
    <sheetView workbookViewId="0">
      <selection activeCell="E38" sqref="E38"/>
    </sheetView>
  </sheetViews>
  <sheetFormatPr baseColWidth="10" defaultColWidth="8.83203125" defaultRowHeight="15" x14ac:dyDescent="0.2"/>
  <cols>
    <col min="1" max="1" width="10" customWidth="1"/>
    <col min="2" max="2" width="37.6640625" customWidth="1"/>
    <col min="3" max="11" width="10" customWidth="1"/>
  </cols>
  <sheetData>
    <row r="1" spans="1:14" x14ac:dyDescent="0.2">
      <c r="A1" s="28" t="s">
        <v>57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x14ac:dyDescent="0.2">
      <c r="B2" s="34" t="s">
        <v>58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</row>
    <row r="4" spans="1:14" x14ac:dyDescent="0.2">
      <c r="B4" s="2" t="s">
        <v>59</v>
      </c>
    </row>
    <row r="5" spans="1:14" x14ac:dyDescent="0.2">
      <c r="B5" s="2" t="s">
        <v>60</v>
      </c>
    </row>
    <row r="8" spans="1:14" x14ac:dyDescent="0.2">
      <c r="B8" s="34" t="s">
        <v>61</v>
      </c>
      <c r="C8" s="31"/>
      <c r="D8" s="31"/>
      <c r="E8" s="31"/>
      <c r="F8" s="31"/>
      <c r="G8" s="31"/>
      <c r="H8" s="31"/>
      <c r="I8" s="31"/>
      <c r="J8" s="31"/>
      <c r="K8" s="31"/>
      <c r="L8" s="32"/>
    </row>
    <row r="10" spans="1:14" x14ac:dyDescent="0.2">
      <c r="B10" s="1" t="s">
        <v>62</v>
      </c>
      <c r="C10" s="3" t="s">
        <v>63</v>
      </c>
      <c r="E10" s="12" t="s">
        <v>64</v>
      </c>
      <c r="G10" s="5" t="s">
        <v>65</v>
      </c>
    </row>
    <row r="11" spans="1:14" x14ac:dyDescent="0.2">
      <c r="B11" s="14" t="s">
        <v>66</v>
      </c>
      <c r="C11" s="15">
        <v>2.4500000000000002</v>
      </c>
      <c r="E11" s="13" t="s">
        <v>67</v>
      </c>
      <c r="G11" s="11" t="s">
        <v>67</v>
      </c>
      <c r="I11" s="16" t="s">
        <v>68</v>
      </c>
    </row>
    <row r="12" spans="1:14" x14ac:dyDescent="0.2">
      <c r="B12" s="17" t="s">
        <v>69</v>
      </c>
      <c r="C12" s="15">
        <v>1.35</v>
      </c>
      <c r="E12" s="13" t="s">
        <v>70</v>
      </c>
      <c r="G12" s="11" t="s">
        <v>71</v>
      </c>
      <c r="I12" s="18" t="s">
        <v>68</v>
      </c>
    </row>
    <row r="13" spans="1:14" x14ac:dyDescent="0.2">
      <c r="B13" s="9" t="s">
        <v>72</v>
      </c>
      <c r="C13" s="15">
        <v>0.72</v>
      </c>
      <c r="E13" s="13" t="s">
        <v>73</v>
      </c>
      <c r="G13" s="11" t="s">
        <v>74</v>
      </c>
    </row>
    <row r="14" spans="1:14" x14ac:dyDescent="0.2">
      <c r="B14" s="9" t="s">
        <v>75</v>
      </c>
      <c r="C14" s="15">
        <v>0.33</v>
      </c>
      <c r="E14" s="13" t="s">
        <v>76</v>
      </c>
      <c r="G14" s="11" t="s">
        <v>77</v>
      </c>
    </row>
    <row r="15" spans="1:14" x14ac:dyDescent="0.2">
      <c r="B15" s="9" t="s">
        <v>78</v>
      </c>
      <c r="C15" s="15">
        <v>0.15</v>
      </c>
      <c r="E15" s="13" t="s">
        <v>79</v>
      </c>
      <c r="G15" s="11" t="s">
        <v>80</v>
      </c>
    </row>
    <row r="18" spans="2:12" x14ac:dyDescent="0.2">
      <c r="B18" s="30" t="s">
        <v>81</v>
      </c>
      <c r="C18" s="31"/>
      <c r="D18" s="31"/>
      <c r="E18" s="31"/>
      <c r="F18" s="31"/>
      <c r="G18" s="31"/>
      <c r="H18" s="31"/>
      <c r="I18" s="31"/>
      <c r="J18" s="31"/>
      <c r="K18" s="31"/>
      <c r="L18" s="32"/>
    </row>
    <row r="20" spans="2:12" x14ac:dyDescent="0.2">
      <c r="B20" s="1" t="s">
        <v>82</v>
      </c>
      <c r="D20" s="14" t="s">
        <v>66</v>
      </c>
      <c r="F20" s="17" t="s">
        <v>69</v>
      </c>
    </row>
    <row r="21" spans="2:12" x14ac:dyDescent="0.2">
      <c r="B21" s="7" t="s">
        <v>25</v>
      </c>
      <c r="D21" s="19">
        <v>0.44719999999999999</v>
      </c>
      <c r="F21" s="20">
        <v>0.5</v>
      </c>
    </row>
    <row r="22" spans="2:12" x14ac:dyDescent="0.2">
      <c r="B22" s="7" t="s">
        <v>26</v>
      </c>
      <c r="D22" s="19">
        <v>0.44719999999999999</v>
      </c>
      <c r="F22" s="20">
        <v>0.4</v>
      </c>
    </row>
    <row r="23" spans="2:12" x14ac:dyDescent="0.2">
      <c r="B23" s="7" t="s">
        <v>27</v>
      </c>
      <c r="D23" s="19">
        <v>0.44719999999999999</v>
      </c>
      <c r="F23" s="20">
        <v>-0.3</v>
      </c>
    </row>
    <row r="24" spans="2:12" x14ac:dyDescent="0.2">
      <c r="B24" s="7" t="s">
        <v>28</v>
      </c>
      <c r="D24" s="19">
        <v>0.44719999999999999</v>
      </c>
      <c r="F24" s="20">
        <v>0.5</v>
      </c>
    </row>
    <row r="25" spans="2:12" x14ac:dyDescent="0.2">
      <c r="B25" s="7" t="s">
        <v>29</v>
      </c>
      <c r="D25" s="19">
        <v>0.44719999999999999</v>
      </c>
      <c r="F25" s="20">
        <v>0.5</v>
      </c>
    </row>
    <row r="28" spans="2:12" x14ac:dyDescent="0.2">
      <c r="B28" s="6" t="s">
        <v>83</v>
      </c>
    </row>
  </sheetData>
  <mergeCells count="4">
    <mergeCell ref="A1:J1"/>
    <mergeCell ref="B2:N2"/>
    <mergeCell ref="B18:L18"/>
    <mergeCell ref="B8:L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9"/>
  <sheetViews>
    <sheetView workbookViewId="0">
      <selection sqref="A1:J1"/>
    </sheetView>
  </sheetViews>
  <sheetFormatPr baseColWidth="10" defaultColWidth="8.83203125" defaultRowHeight="15" x14ac:dyDescent="0.2"/>
  <cols>
    <col min="1" max="14" width="10" customWidth="1"/>
  </cols>
  <sheetData>
    <row r="1" spans="1:14" x14ac:dyDescent="0.2">
      <c r="A1" s="28" t="s">
        <v>84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x14ac:dyDescent="0.2">
      <c r="B2" s="33" t="s">
        <v>85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</row>
    <row r="4" spans="1:14" x14ac:dyDescent="0.2">
      <c r="B4" s="2" t="s">
        <v>86</v>
      </c>
    </row>
    <row r="5" spans="1:14" x14ac:dyDescent="0.2">
      <c r="B5" s="2" t="s">
        <v>87</v>
      </c>
    </row>
    <row r="8" spans="1:14" x14ac:dyDescent="0.2">
      <c r="B8" s="36" t="s">
        <v>88</v>
      </c>
      <c r="C8" s="31"/>
      <c r="D8" s="31"/>
      <c r="E8" s="31"/>
      <c r="F8" s="31"/>
      <c r="G8" s="31"/>
      <c r="H8" s="31"/>
      <c r="I8" s="31"/>
      <c r="J8" s="31"/>
      <c r="K8" s="31"/>
      <c r="L8" s="32"/>
    </row>
    <row r="10" spans="1:14" x14ac:dyDescent="0.2">
      <c r="B10" s="1" t="s">
        <v>82</v>
      </c>
      <c r="D10" s="5" t="s">
        <v>89</v>
      </c>
      <c r="F10" s="14" t="s">
        <v>66</v>
      </c>
      <c r="H10" s="1" t="s">
        <v>90</v>
      </c>
      <c r="J10" s="17" t="s">
        <v>69</v>
      </c>
      <c r="L10" s="1" t="s">
        <v>91</v>
      </c>
    </row>
    <row r="11" spans="1:14" x14ac:dyDescent="0.2">
      <c r="B11" s="7" t="s">
        <v>25</v>
      </c>
      <c r="D11" s="11">
        <v>0.67330000000000001</v>
      </c>
      <c r="F11" s="19">
        <v>0.44719999999999999</v>
      </c>
      <c r="H11" s="9">
        <v>0.30109999999999998</v>
      </c>
      <c r="J11" s="20">
        <v>0.5</v>
      </c>
      <c r="L11" s="9">
        <v>0.3367</v>
      </c>
    </row>
    <row r="12" spans="1:14" x14ac:dyDescent="0.2">
      <c r="B12" s="7" t="s">
        <v>26</v>
      </c>
      <c r="D12" s="11">
        <v>0.72970000000000002</v>
      </c>
      <c r="F12" s="19">
        <v>0.44719999999999999</v>
      </c>
      <c r="H12" s="9">
        <v>0.32629999999999998</v>
      </c>
      <c r="J12" s="20">
        <v>0.4</v>
      </c>
      <c r="L12" s="9">
        <v>0.29189999999999999</v>
      </c>
    </row>
    <row r="13" spans="1:14" x14ac:dyDescent="0.2">
      <c r="B13" s="7" t="s">
        <v>27</v>
      </c>
      <c r="D13" s="11">
        <v>0.34110000000000001</v>
      </c>
      <c r="F13" s="19">
        <v>0.44719999999999999</v>
      </c>
      <c r="H13" s="9">
        <v>0.1525</v>
      </c>
      <c r="J13" s="20">
        <v>-0.3</v>
      </c>
      <c r="L13" s="9">
        <v>-0.1023</v>
      </c>
    </row>
    <row r="14" spans="1:14" x14ac:dyDescent="0.2">
      <c r="B14" s="7" t="s">
        <v>28</v>
      </c>
      <c r="D14" s="11">
        <v>0.7833</v>
      </c>
      <c r="F14" s="19">
        <v>0.44719999999999999</v>
      </c>
      <c r="H14" s="9">
        <v>0.3503</v>
      </c>
      <c r="J14" s="20">
        <v>0.5</v>
      </c>
      <c r="L14" s="9">
        <v>0.3916</v>
      </c>
    </row>
    <row r="15" spans="1:14" x14ac:dyDescent="0.2">
      <c r="B15" s="7" t="s">
        <v>29</v>
      </c>
      <c r="D15" s="11">
        <v>0.76160000000000005</v>
      </c>
      <c r="F15" s="19">
        <v>0.44719999999999999</v>
      </c>
      <c r="H15" s="9">
        <v>0.34060000000000001</v>
      </c>
      <c r="J15" s="20">
        <v>0.5</v>
      </c>
      <c r="L15" s="9">
        <v>0.38080000000000003</v>
      </c>
    </row>
    <row r="16" spans="1:14" x14ac:dyDescent="0.2">
      <c r="B16" s="1" t="s">
        <v>92</v>
      </c>
      <c r="H16" s="14">
        <v>1.4709000000000001</v>
      </c>
      <c r="L16" s="17">
        <v>1.2986</v>
      </c>
    </row>
    <row r="19" spans="2:9" x14ac:dyDescent="0.2">
      <c r="B19" s="34" t="s">
        <v>93</v>
      </c>
      <c r="C19" s="31"/>
      <c r="D19" s="31"/>
      <c r="E19" s="31"/>
      <c r="F19" s="31"/>
      <c r="G19" s="31"/>
      <c r="H19" s="31"/>
      <c r="I19" s="32"/>
    </row>
    <row r="21" spans="2:9" x14ac:dyDescent="0.2">
      <c r="B21" s="1" t="s">
        <v>23</v>
      </c>
      <c r="C21" s="1" t="s">
        <v>24</v>
      </c>
      <c r="D21" s="14" t="s">
        <v>66</v>
      </c>
      <c r="E21" s="17" t="s">
        <v>69</v>
      </c>
    </row>
    <row r="22" spans="2:9" x14ac:dyDescent="0.2">
      <c r="B22" s="8" t="s">
        <v>30</v>
      </c>
      <c r="C22" s="8" t="s">
        <v>31</v>
      </c>
      <c r="D22" s="19">
        <v>1.4709000000000001</v>
      </c>
      <c r="E22" s="20">
        <v>1.2986</v>
      </c>
    </row>
    <row r="23" spans="2:9" x14ac:dyDescent="0.2">
      <c r="B23" s="8" t="s">
        <v>32</v>
      </c>
      <c r="C23" s="8" t="s">
        <v>31</v>
      </c>
      <c r="D23" s="19">
        <v>2.7448000000000001</v>
      </c>
      <c r="E23" s="20">
        <v>2.1187</v>
      </c>
    </row>
    <row r="24" spans="2:9" x14ac:dyDescent="0.2">
      <c r="B24" s="8" t="s">
        <v>33</v>
      </c>
      <c r="C24" s="8" t="s">
        <v>31</v>
      </c>
      <c r="D24" s="19">
        <v>1.1249</v>
      </c>
      <c r="E24" s="20">
        <v>0.60770000000000002</v>
      </c>
    </row>
    <row r="25" spans="2:9" x14ac:dyDescent="0.2">
      <c r="B25" s="8" t="s">
        <v>34</v>
      </c>
      <c r="C25" s="8" t="s">
        <v>31</v>
      </c>
      <c r="D25" s="19">
        <v>2.4270999999999998</v>
      </c>
      <c r="E25" s="20">
        <v>1.5803</v>
      </c>
    </row>
    <row r="26" spans="2:9" x14ac:dyDescent="0.2">
      <c r="B26" s="10" t="s">
        <v>35</v>
      </c>
      <c r="C26" s="10" t="s">
        <v>36</v>
      </c>
      <c r="D26" s="19">
        <v>-2.4521999999999999</v>
      </c>
      <c r="E26" s="20">
        <v>-1.8208</v>
      </c>
    </row>
    <row r="27" spans="2:9" x14ac:dyDescent="0.2">
      <c r="B27" s="10" t="s">
        <v>37</v>
      </c>
      <c r="C27" s="10" t="s">
        <v>36</v>
      </c>
      <c r="D27" s="19">
        <v>-1.4849000000000001</v>
      </c>
      <c r="E27" s="20">
        <v>-1.1017999999999999</v>
      </c>
    </row>
    <row r="28" spans="2:9" x14ac:dyDescent="0.2">
      <c r="B28" s="10" t="s">
        <v>38</v>
      </c>
      <c r="C28" s="10" t="s">
        <v>36</v>
      </c>
      <c r="D28" s="19">
        <v>-2.9154</v>
      </c>
      <c r="E28" s="20">
        <v>-1.9762</v>
      </c>
    </row>
    <row r="29" spans="2:9" x14ac:dyDescent="0.2">
      <c r="B29" s="10" t="s">
        <v>39</v>
      </c>
      <c r="C29" s="10" t="s">
        <v>36</v>
      </c>
      <c r="D29" s="19">
        <v>-0.91510000000000002</v>
      </c>
      <c r="E29" s="20">
        <v>-0.70640000000000003</v>
      </c>
    </row>
  </sheetData>
  <mergeCells count="4">
    <mergeCell ref="A1:J1"/>
    <mergeCell ref="B19:I19"/>
    <mergeCell ref="B2:N2"/>
    <mergeCell ref="B8:L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workbookViewId="0">
      <selection activeCell="J36" sqref="J36"/>
    </sheetView>
  </sheetViews>
  <sheetFormatPr baseColWidth="10" defaultColWidth="8.83203125" defaultRowHeight="15" x14ac:dyDescent="0.2"/>
  <cols>
    <col min="1" max="1" width="10" customWidth="1"/>
    <col min="2" max="2" width="30.6640625" customWidth="1"/>
    <col min="3" max="3" width="27.6640625" customWidth="1"/>
    <col min="4" max="7" width="10" customWidth="1"/>
  </cols>
  <sheetData>
    <row r="1" spans="1:14" x14ac:dyDescent="0.2">
      <c r="A1" s="28" t="s">
        <v>94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x14ac:dyDescent="0.2">
      <c r="B2" s="34" t="s">
        <v>95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</row>
    <row r="4" spans="1:14" x14ac:dyDescent="0.2">
      <c r="B4" s="2" t="s">
        <v>96</v>
      </c>
    </row>
    <row r="5" spans="1:14" x14ac:dyDescent="0.2">
      <c r="B5" s="2" t="s">
        <v>97</v>
      </c>
    </row>
    <row r="8" spans="1:14" x14ac:dyDescent="0.2">
      <c r="B8" s="33" t="s">
        <v>98</v>
      </c>
      <c r="C8" s="31"/>
      <c r="D8" s="31"/>
      <c r="E8" s="31"/>
      <c r="F8" s="31"/>
      <c r="G8" s="32"/>
    </row>
    <row r="10" spans="1:14" x14ac:dyDescent="0.2">
      <c r="B10" s="1" t="s">
        <v>23</v>
      </c>
      <c r="C10" s="1" t="s">
        <v>24</v>
      </c>
      <c r="D10" s="14" t="s">
        <v>99</v>
      </c>
      <c r="E10" s="17" t="s">
        <v>100</v>
      </c>
    </row>
    <row r="11" spans="1:14" x14ac:dyDescent="0.2">
      <c r="B11" s="8" t="s">
        <v>30</v>
      </c>
      <c r="C11" s="8" t="s">
        <v>31</v>
      </c>
      <c r="D11" s="9">
        <v>1.4709000000000001</v>
      </c>
      <c r="E11" s="9">
        <v>1.2986</v>
      </c>
    </row>
    <row r="12" spans="1:14" x14ac:dyDescent="0.2">
      <c r="B12" s="8" t="s">
        <v>32</v>
      </c>
      <c r="C12" s="8" t="s">
        <v>31</v>
      </c>
      <c r="D12" s="9">
        <v>2.7448000000000001</v>
      </c>
      <c r="E12" s="9">
        <v>2.1187</v>
      </c>
    </row>
    <row r="13" spans="1:14" x14ac:dyDescent="0.2">
      <c r="B13" s="8" t="s">
        <v>33</v>
      </c>
      <c r="C13" s="8" t="s">
        <v>31</v>
      </c>
      <c r="D13" s="9">
        <v>1.1249</v>
      </c>
      <c r="E13" s="9">
        <v>0.60770000000000002</v>
      </c>
    </row>
    <row r="14" spans="1:14" x14ac:dyDescent="0.2">
      <c r="B14" s="8" t="s">
        <v>34</v>
      </c>
      <c r="C14" s="8" t="s">
        <v>31</v>
      </c>
      <c r="D14" s="9">
        <v>2.4270999999999998</v>
      </c>
      <c r="E14" s="9">
        <v>1.5803</v>
      </c>
    </row>
    <row r="15" spans="1:14" x14ac:dyDescent="0.2">
      <c r="B15" s="10" t="s">
        <v>35</v>
      </c>
      <c r="C15" s="10" t="s">
        <v>36</v>
      </c>
      <c r="D15" s="9">
        <v>-2.4521999999999999</v>
      </c>
      <c r="E15" s="9">
        <v>-1.8208</v>
      </c>
    </row>
    <row r="16" spans="1:14" x14ac:dyDescent="0.2">
      <c r="B16" s="10" t="s">
        <v>37</v>
      </c>
      <c r="C16" s="10" t="s">
        <v>36</v>
      </c>
      <c r="D16" s="9">
        <v>-1.4849000000000001</v>
      </c>
      <c r="E16" s="9">
        <v>-1.1017999999999999</v>
      </c>
    </row>
    <row r="17" spans="2:5" x14ac:dyDescent="0.2">
      <c r="B17" s="10" t="s">
        <v>38</v>
      </c>
      <c r="C17" s="10" t="s">
        <v>36</v>
      </c>
      <c r="D17" s="9">
        <v>-2.9154</v>
      </c>
      <c r="E17" s="9">
        <v>-1.9762</v>
      </c>
    </row>
    <row r="18" spans="2:5" x14ac:dyDescent="0.2">
      <c r="B18" s="10" t="s">
        <v>39</v>
      </c>
      <c r="C18" s="10" t="s">
        <v>36</v>
      </c>
      <c r="D18" s="9">
        <v>-0.91510000000000002</v>
      </c>
      <c r="E18" s="9">
        <v>-0.70640000000000003</v>
      </c>
    </row>
    <row r="21" spans="2:5" x14ac:dyDescent="0.2">
      <c r="B21" s="21" t="s">
        <v>101</v>
      </c>
    </row>
    <row r="22" spans="2:5" x14ac:dyDescent="0.2">
      <c r="B22" s="14" t="s">
        <v>66</v>
      </c>
      <c r="C22" s="17" t="s">
        <v>69</v>
      </c>
    </row>
    <row r="23" spans="2:5" x14ac:dyDescent="0.2">
      <c r="B23" s="8">
        <v>1.4709000000000001</v>
      </c>
      <c r="C23" s="8">
        <v>1.2986</v>
      </c>
    </row>
    <row r="24" spans="2:5" x14ac:dyDescent="0.2">
      <c r="B24" s="8">
        <v>2.7448000000000001</v>
      </c>
      <c r="C24" s="8">
        <v>2.1187</v>
      </c>
    </row>
    <row r="25" spans="2:5" x14ac:dyDescent="0.2">
      <c r="B25" s="8">
        <v>1.1249</v>
      </c>
      <c r="C25" s="8">
        <v>0.60770000000000002</v>
      </c>
    </row>
    <row r="26" spans="2:5" x14ac:dyDescent="0.2">
      <c r="B26" s="8">
        <v>2.4270999999999998</v>
      </c>
      <c r="C26" s="8">
        <v>1.5803</v>
      </c>
    </row>
    <row r="28" spans="2:5" x14ac:dyDescent="0.2">
      <c r="B28" s="22" t="s">
        <v>102</v>
      </c>
    </row>
    <row r="29" spans="2:5" x14ac:dyDescent="0.2">
      <c r="B29" s="14" t="s">
        <v>66</v>
      </c>
      <c r="C29" s="17" t="s">
        <v>69</v>
      </c>
    </row>
    <row r="30" spans="2:5" x14ac:dyDescent="0.2">
      <c r="B30" s="10">
        <v>-2.4521999999999999</v>
      </c>
      <c r="C30" s="10">
        <v>-1.8208</v>
      </c>
    </row>
    <row r="31" spans="2:5" x14ac:dyDescent="0.2">
      <c r="B31" s="10">
        <v>-1.4849000000000001</v>
      </c>
      <c r="C31" s="10">
        <v>-1.1017999999999999</v>
      </c>
    </row>
    <row r="32" spans="2:5" x14ac:dyDescent="0.2">
      <c r="B32" s="10">
        <v>-2.9154</v>
      </c>
      <c r="C32" s="10">
        <v>-1.9762</v>
      </c>
    </row>
    <row r="33" spans="2:3" x14ac:dyDescent="0.2">
      <c r="B33" s="10">
        <v>-0.91510000000000002</v>
      </c>
      <c r="C33" s="10">
        <v>-0.70640000000000003</v>
      </c>
    </row>
    <row r="37" spans="2:3" x14ac:dyDescent="0.2">
      <c r="B37" s="1" t="s">
        <v>103</v>
      </c>
    </row>
    <row r="38" spans="2:3" x14ac:dyDescent="0.2">
      <c r="B38" s="2" t="s">
        <v>104</v>
      </c>
    </row>
    <row r="39" spans="2:3" x14ac:dyDescent="0.2">
      <c r="B39" s="2" t="s">
        <v>105</v>
      </c>
    </row>
    <row r="40" spans="2:3" x14ac:dyDescent="0.2">
      <c r="B40" s="6" t="s">
        <v>106</v>
      </c>
    </row>
  </sheetData>
  <mergeCells count="3">
    <mergeCell ref="B8:G8"/>
    <mergeCell ref="A1:J1"/>
    <mergeCell ref="B2:N2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3"/>
  <sheetViews>
    <sheetView tabSelected="1" workbookViewId="0">
      <selection activeCell="E22" sqref="E22"/>
    </sheetView>
  </sheetViews>
  <sheetFormatPr baseColWidth="10" defaultColWidth="8.83203125" defaultRowHeight="15" x14ac:dyDescent="0.2"/>
  <cols>
    <col min="1" max="1" width="12" customWidth="1"/>
    <col min="2" max="2" width="37.33203125" customWidth="1"/>
    <col min="3" max="14" width="12" customWidth="1"/>
  </cols>
  <sheetData>
    <row r="1" spans="1:14" x14ac:dyDescent="0.2">
      <c r="A1" s="28" t="s">
        <v>107</v>
      </c>
      <c r="B1" s="29"/>
      <c r="C1" s="29"/>
      <c r="D1" s="29"/>
      <c r="E1" s="29"/>
      <c r="F1" s="29"/>
      <c r="G1" s="29"/>
      <c r="H1" s="29"/>
      <c r="I1" s="29"/>
      <c r="J1" s="29"/>
    </row>
    <row r="2" spans="1:14" x14ac:dyDescent="0.2">
      <c r="B2" s="35" t="s">
        <v>108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2"/>
    </row>
    <row r="4" spans="1:14" x14ac:dyDescent="0.2">
      <c r="B4" s="4" t="s">
        <v>40</v>
      </c>
    </row>
    <row r="5" spans="1:14" x14ac:dyDescent="0.2">
      <c r="B5" s="2" t="s">
        <v>109</v>
      </c>
    </row>
    <row r="6" spans="1:14" x14ac:dyDescent="0.2">
      <c r="B6" s="2" t="s">
        <v>110</v>
      </c>
    </row>
    <row r="8" spans="1:14" x14ac:dyDescent="0.2">
      <c r="B8" s="3" t="s">
        <v>111</v>
      </c>
    </row>
    <row r="9" spans="1:14" x14ac:dyDescent="0.2">
      <c r="B9" s="23" t="s">
        <v>112</v>
      </c>
    </row>
    <row r="10" spans="1:14" x14ac:dyDescent="0.2">
      <c r="B10" s="24" t="s">
        <v>113</v>
      </c>
    </row>
    <row r="12" spans="1:14" x14ac:dyDescent="0.2">
      <c r="B12" s="5" t="s">
        <v>114</v>
      </c>
    </row>
    <row r="13" spans="1:14" x14ac:dyDescent="0.2">
      <c r="B13" s="25" t="s">
        <v>115</v>
      </c>
    </row>
    <row r="14" spans="1:14" x14ac:dyDescent="0.2">
      <c r="B14" s="25" t="s">
        <v>116</v>
      </c>
    </row>
    <row r="15" spans="1:14" x14ac:dyDescent="0.2">
      <c r="B15" s="25" t="s">
        <v>117</v>
      </c>
    </row>
    <row r="16" spans="1:14" x14ac:dyDescent="0.2">
      <c r="B16" s="25" t="s">
        <v>118</v>
      </c>
    </row>
    <row r="17" spans="2:2" x14ac:dyDescent="0.2">
      <c r="B17" s="26" t="s">
        <v>119</v>
      </c>
    </row>
    <row r="18" spans="2:2" x14ac:dyDescent="0.2">
      <c r="B18" s="26" t="s">
        <v>120</v>
      </c>
    </row>
    <row r="19" spans="2:2" x14ac:dyDescent="0.2">
      <c r="B19" s="26" t="s">
        <v>121</v>
      </c>
    </row>
    <row r="20" spans="2:2" x14ac:dyDescent="0.2">
      <c r="B20" s="26" t="s">
        <v>122</v>
      </c>
    </row>
    <row r="22" spans="2:2" x14ac:dyDescent="0.2">
      <c r="B22" s="12" t="s">
        <v>123</v>
      </c>
    </row>
    <row r="23" spans="2:2" x14ac:dyDescent="0.2">
      <c r="B23" s="27" t="s">
        <v>124</v>
      </c>
    </row>
  </sheetData>
  <mergeCells count="2">
    <mergeCell ref="A1:J1"/>
    <mergeCell ref="B2: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Original_Data</vt:lpstr>
      <vt:lpstr>Standardization</vt:lpstr>
      <vt:lpstr>Correlation_Matrix</vt:lpstr>
      <vt:lpstr>Eigendecomposition</vt:lpstr>
      <vt:lpstr>Projection</vt:lpstr>
      <vt:lpstr>Scatter_Plot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Jihwan Kim</cp:lastModifiedBy>
  <dcterms:created xsi:type="dcterms:W3CDTF">2026-01-20T07:14:33Z</dcterms:created>
  <dcterms:modified xsi:type="dcterms:W3CDTF">2026-02-10T07:28:33Z</dcterms:modified>
</cp:coreProperties>
</file>