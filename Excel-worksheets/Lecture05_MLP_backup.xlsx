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Forward" sheetId="2" state="visible" r:id="rId2"/>
    <sheet xmlns:r="http://schemas.openxmlformats.org/officeDocument/2006/relationships" name="Backward" sheetId="3" state="visible" r:id="rId3"/>
    <sheet xmlns:r="http://schemas.openxmlformats.org/officeDocument/2006/relationships" name="Answer_Ke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DAEEF3"/>
        <bgColor rgb="00DAEEF3"/>
      </patternFill>
    </fill>
    <fill>
      <patternFill patternType="solid">
        <fgColor rgb="00D8E4BC"/>
        <bgColor rgb="00D8E4BC"/>
      </patternFill>
    </fill>
    <fill>
      <patternFill patternType="solid">
        <fgColor rgb="00FDE9D9"/>
        <bgColor rgb="00FDE9D9"/>
      </patternFill>
    </fill>
    <fill>
      <patternFill patternType="solid">
        <fgColor rgb="00E4DFEC"/>
        <bgColor rgb="00E4DFEC"/>
      </patternFill>
    </fill>
    <fill>
      <patternFill patternType="solid">
        <fgColor rgb="00FFCCCC"/>
        <bgColor rgb="00FFCCCC"/>
      </patternFill>
    </fill>
    <fill>
      <patternFill patternType="solid">
        <fgColor rgb="00CCFFCC"/>
        <bgColor rgb="00CCFFCC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2" borderId="0" pivotButton="0" quotePrefix="0" xfId="0"/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1" fillId="6" borderId="1" applyAlignment="1" pivotButton="0" quotePrefix="0" xfId="0">
      <alignment horizontal="center" vertical="center"/>
    </xf>
    <xf numFmtId="0" fontId="1" fillId="7" borderId="1" applyAlignment="1" pivotButton="0" quotePrefix="0" xfId="0">
      <alignment horizontal="center" vertical="center"/>
    </xf>
    <xf numFmtId="0" fontId="1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T25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</cols>
  <sheetData>
    <row r="2">
      <c r="B2" s="1" t="inlineStr">
        <is>
          <t>MLP Forward &amp; Backward Propagation</t>
        </is>
      </c>
    </row>
    <row r="4">
      <c r="B4" s="1" t="inlineStr">
        <is>
          <t>Structure: Input(3) → Hidden(4, ReLU) → Output(1, Sigmoid) → BCE Loss</t>
        </is>
      </c>
    </row>
    <row r="7">
      <c r="B7" s="2" t="inlineStr">
        <is>
          <t>Network Diagram</t>
        </is>
      </c>
    </row>
    <row r="9">
      <c r="C9" s="2" t="inlineStr">
        <is>
          <t>Input (3)</t>
        </is>
      </c>
      <c r="G9" s="3" t="inlineStr">
        <is>
          <t>Hidden (4)</t>
        </is>
      </c>
      <c r="K9" s="4" t="inlineStr">
        <is>
          <t>Output (1)</t>
        </is>
      </c>
    </row>
    <row r="10">
      <c r="C10" s="5" t="inlineStr">
        <is>
          <t>x0=0.5</t>
        </is>
      </c>
      <c r="E10" s="6" t="inlineStr">
        <is>
          <t>→</t>
        </is>
      </c>
      <c r="G10" s="7" t="inlineStr">
        <is>
          <t>h0</t>
        </is>
      </c>
      <c r="I10" s="6" t="inlineStr">
        <is>
          <t>→</t>
        </is>
      </c>
    </row>
    <row r="11">
      <c r="C11" s="5" t="inlineStr">
        <is>
          <t>x1=0.8</t>
        </is>
      </c>
      <c r="E11" s="6" t="inlineStr">
        <is>
          <t>W1,b1</t>
        </is>
      </c>
      <c r="G11" s="7" t="inlineStr">
        <is>
          <t>h1</t>
        </is>
      </c>
      <c r="I11" s="6" t="inlineStr">
        <is>
          <t>W2,b2</t>
        </is>
      </c>
      <c r="K11" s="8" t="inlineStr">
        <is>
          <t>y</t>
        </is>
      </c>
      <c r="M11" s="9" t="inlineStr">
        <is>
          <t>→ Loss</t>
        </is>
      </c>
    </row>
    <row r="12">
      <c r="C12" s="5" t="inlineStr">
        <is>
          <t>x2=-0.2</t>
        </is>
      </c>
      <c r="E12" s="6" t="inlineStr">
        <is>
          <t>→</t>
        </is>
      </c>
      <c r="G12" s="7" t="inlineStr">
        <is>
          <t>h2</t>
        </is>
      </c>
      <c r="I12" s="6" t="inlineStr">
        <is>
          <t>→</t>
        </is>
      </c>
    </row>
    <row r="13">
      <c r="G13" s="7" t="inlineStr">
        <is>
          <t>h3</t>
        </is>
      </c>
    </row>
    <row r="16">
      <c r="B16" s="1" t="inlineStr">
        <is>
          <t>Parameters</t>
        </is>
      </c>
    </row>
    <row r="18">
      <c r="B18" s="3" t="inlineStr">
        <is>
          <t>W1 (4×3)</t>
        </is>
      </c>
      <c r="G18" s="3" t="inlineStr">
        <is>
          <t>b1 (4)</t>
        </is>
      </c>
      <c r="J18" s="4" t="inlineStr">
        <is>
          <t>W2 (1×4)</t>
        </is>
      </c>
      <c r="O18" s="4" t="inlineStr">
        <is>
          <t>b2</t>
        </is>
      </c>
    </row>
    <row r="19">
      <c r="B19" s="7" t="n">
        <v>0.3</v>
      </c>
      <c r="C19" s="7" t="n">
        <v>-0.4</v>
      </c>
      <c r="D19" s="7" t="n">
        <v>0.5</v>
      </c>
      <c r="G19" s="7" t="n">
        <v>0.1</v>
      </c>
      <c r="J19" s="8" t="n">
        <v>0.5</v>
      </c>
      <c r="K19" s="8" t="n">
        <v>-0.3</v>
      </c>
      <c r="L19" s="8" t="n">
        <v>0.4</v>
      </c>
      <c r="M19" s="8" t="n">
        <v>-0.2</v>
      </c>
      <c r="O19" s="8" t="n">
        <v>0.1</v>
      </c>
    </row>
    <row r="20">
      <c r="B20" s="7" t="n">
        <v>0.2</v>
      </c>
      <c r="C20" s="7" t="n">
        <v>0.6</v>
      </c>
      <c r="D20" s="7" t="n">
        <v>-0.3</v>
      </c>
      <c r="G20" s="7" t="n">
        <v>-0.1</v>
      </c>
    </row>
    <row r="21">
      <c r="B21" s="7" t="n">
        <v>-0.5</v>
      </c>
      <c r="C21" s="7" t="n">
        <v>0.1</v>
      </c>
      <c r="D21" s="7" t="n">
        <v>0.4</v>
      </c>
      <c r="G21" s="7" t="n">
        <v>0.2</v>
      </c>
    </row>
    <row r="22">
      <c r="B22" s="7" t="n">
        <v>0.4</v>
      </c>
      <c r="C22" s="7" t="n">
        <v>-0.2</v>
      </c>
      <c r="D22" s="7" t="n">
        <v>0.3</v>
      </c>
      <c r="G22" s="7" t="n">
        <v>0</v>
      </c>
    </row>
    <row r="24">
      <c r="B24" s="6" t="inlineStr">
        <is>
          <t>Target: y_true = 1</t>
        </is>
      </c>
    </row>
    <row r="25">
      <c r="B25" s="6" t="inlineStr">
        <is>
          <t>Learning Rate: η = 0.1</t>
        </is>
      </c>
    </row>
  </sheetData>
  <mergeCells count="2">
    <mergeCell ref="B4:T4"/>
    <mergeCell ref="B2:T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Z49"/>
  <sheetViews>
    <sheetView workbookViewId="0">
      <selection activeCell="A1" sqref="A1"/>
    </sheetView>
  </sheetViews>
  <sheetFormatPr baseColWidth="8" defaultRowHeight="15"/>
  <cols>
    <col width="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</cols>
  <sheetData>
    <row r="2">
      <c r="B2" s="3" t="inlineStr">
        <is>
          <t>Forward Propagation: Input → Hidden → Output → Loss</t>
        </is>
      </c>
    </row>
    <row r="5">
      <c r="B5" s="2" t="inlineStr">
        <is>
          <t>STEP 1: Input</t>
        </is>
      </c>
    </row>
    <row r="7">
      <c r="B7" s="6" t="inlineStr">
        <is>
          <t>x =</t>
        </is>
      </c>
      <c r="C7" s="5" t="n">
        <v>0.5</v>
      </c>
      <c r="D7" s="5" t="n">
        <v>0.8</v>
      </c>
      <c r="E7" s="5" t="n">
        <v>-0.2</v>
      </c>
    </row>
    <row r="10">
      <c r="B10" s="3" t="inlineStr">
        <is>
          <t>STEP 2: Linear (z1 = W1·x + b1)</t>
        </is>
      </c>
    </row>
    <row r="12">
      <c r="B12" s="3" t="inlineStr">
        <is>
          <t>W1 (4×3)</t>
        </is>
      </c>
      <c r="F12" s="6" t="inlineStr">
        <is>
          <t>×</t>
        </is>
      </c>
      <c r="G12" s="2" t="inlineStr">
        <is>
          <t>x (3×1)</t>
        </is>
      </c>
      <c r="I12" s="6" t="inlineStr">
        <is>
          <t>+</t>
        </is>
      </c>
      <c r="J12" s="3" t="inlineStr">
        <is>
          <t>b1 (4)</t>
        </is>
      </c>
      <c r="L12" s="6" t="inlineStr">
        <is>
          <t>=</t>
        </is>
      </c>
      <c r="M12" s="3" t="inlineStr">
        <is>
          <t>z1 (4)</t>
        </is>
      </c>
      <c r="P12" s="1" t="inlineStr">
        <is>
          <t>Calculation:</t>
        </is>
      </c>
    </row>
    <row r="13">
      <c r="B13" s="7" t="n">
        <v>0.3</v>
      </c>
      <c r="C13" s="7" t="n">
        <v>-0.4</v>
      </c>
      <c r="D13" s="7" t="n">
        <v>0.5</v>
      </c>
      <c r="G13" s="5" t="n">
        <v>0.5</v>
      </c>
      <c r="J13" s="7" t="n">
        <v>0.1</v>
      </c>
      <c r="M13" s="7" t="n">
        <v>-0.17</v>
      </c>
      <c r="P13" s="10" t="inlineStr">
        <is>
          <t>z1[0] = (0.3×0.5) + (-0.4×0.8) + (0.5×-0.2) + 0.1</t>
        </is>
      </c>
    </row>
    <row r="14">
      <c r="B14" s="7" t="n">
        <v>0.2</v>
      </c>
      <c r="C14" s="7" t="n">
        <v>0.6</v>
      </c>
      <c r="D14" s="7" t="n">
        <v>-0.3</v>
      </c>
      <c r="G14" s="5" t="n">
        <v>0.8</v>
      </c>
      <c r="J14" s="7" t="n">
        <v>-0.1</v>
      </c>
      <c r="M14" s="7" t="n">
        <v>0.54</v>
      </c>
      <c r="P14" s="10" t="inlineStr">
        <is>
          <t>z1[1] = (0.2×0.5) + (0.6×0.8) + (-0.3×-0.2) + -0.1</t>
        </is>
      </c>
    </row>
    <row r="15">
      <c r="B15" s="7" t="n">
        <v>-0.5</v>
      </c>
      <c r="C15" s="7" t="n">
        <v>0.1</v>
      </c>
      <c r="D15" s="7" t="n">
        <v>0.4</v>
      </c>
      <c r="G15" s="5" t="n">
        <v>-0.2</v>
      </c>
      <c r="J15" s="7" t="n">
        <v>0.2</v>
      </c>
      <c r="M15" s="7" t="n">
        <v>-0.05</v>
      </c>
      <c r="P15" s="10" t="inlineStr">
        <is>
          <t>z1[2] = (-0.5×0.5) + (0.1×0.8) + (0.4×-0.2) + 0.2</t>
        </is>
      </c>
    </row>
    <row r="16">
      <c r="B16" s="7" t="n">
        <v>0.4</v>
      </c>
      <c r="C16" s="7" t="n">
        <v>-0.2</v>
      </c>
      <c r="D16" s="7" t="n">
        <v>0.3</v>
      </c>
      <c r="J16" s="7" t="n">
        <v>0</v>
      </c>
      <c r="M16" s="7" t="n">
        <v>-0.02</v>
      </c>
      <c r="P16" s="10" t="inlineStr">
        <is>
          <t>z1[3] = (0.4×0.5) + (-0.2×0.8) + (0.3×-0.2) + 0.0</t>
        </is>
      </c>
    </row>
    <row r="19">
      <c r="B19" s="3" t="inlineStr">
        <is>
          <t>STEP 3: ReLU (h = max(0, z1))</t>
        </is>
      </c>
    </row>
    <row r="21">
      <c r="B21" s="3" t="inlineStr">
        <is>
          <t>z1 (4)</t>
        </is>
      </c>
      <c r="D21" s="6" t="inlineStr">
        <is>
          <t>→ ReLU →</t>
        </is>
      </c>
      <c r="G21" s="3" t="inlineStr">
        <is>
          <t>h (4)</t>
        </is>
      </c>
    </row>
    <row r="22">
      <c r="B22" s="11" t="n">
        <v>-0.17</v>
      </c>
      <c r="G22" s="12" t="n">
        <v>0</v>
      </c>
      <c r="I22" s="6" t="inlineStr">
        <is>
          <t>Red→0 (negative)</t>
        </is>
      </c>
    </row>
    <row r="23">
      <c r="B23" s="7" t="n">
        <v>0.54</v>
      </c>
      <c r="G23" s="7" t="n">
        <v>0.54</v>
      </c>
    </row>
    <row r="24">
      <c r="B24" s="11" t="n">
        <v>-0.05</v>
      </c>
      <c r="G24" s="12" t="n">
        <v>0</v>
      </c>
    </row>
    <row r="25">
      <c r="B25" s="11" t="n">
        <v>-0.02</v>
      </c>
      <c r="G25" s="12" t="n">
        <v>0</v>
      </c>
    </row>
    <row r="28">
      <c r="B28" s="4" t="inlineStr">
        <is>
          <t>STEP 4: Linear (z2 = W2·h + b2)</t>
        </is>
      </c>
    </row>
    <row r="30">
      <c r="B30" s="4" t="inlineStr">
        <is>
          <t>W2 (1×4)</t>
        </is>
      </c>
      <c r="G30" s="6" t="inlineStr">
        <is>
          <t>×</t>
        </is>
      </c>
      <c r="H30" s="3" t="inlineStr">
        <is>
          <t>h (4×1)</t>
        </is>
      </c>
      <c r="J30" s="6" t="inlineStr">
        <is>
          <t>+</t>
        </is>
      </c>
      <c r="K30" s="4" t="inlineStr">
        <is>
          <t>b2</t>
        </is>
      </c>
      <c r="M30" s="6" t="inlineStr">
        <is>
          <t>=</t>
        </is>
      </c>
      <c r="N30" s="4" t="inlineStr">
        <is>
          <t>z2</t>
        </is>
      </c>
    </row>
    <row r="31">
      <c r="B31" s="8" t="n">
        <v>0.5</v>
      </c>
      <c r="C31" s="8" t="n">
        <v>-0.3</v>
      </c>
      <c r="D31" s="8" t="n">
        <v>0.4</v>
      </c>
      <c r="E31" s="8" t="n">
        <v>-0.2</v>
      </c>
      <c r="H31" s="7" t="n">
        <v>0</v>
      </c>
      <c r="K31" s="8" t="n">
        <v>0.1</v>
      </c>
      <c r="N31" s="8" t="n">
        <v>-0.062</v>
      </c>
    </row>
    <row r="32">
      <c r="H32" s="7" t="n">
        <v>0.54</v>
      </c>
    </row>
    <row r="33">
      <c r="B33" s="6" t="inlineStr">
        <is>
          <t>z2 = (0.5×0) + (-0.3×0.54) + (0.4×0) + (-0.2×0) + 0.1 = -0.062</t>
        </is>
      </c>
      <c r="C33" s="13" t="n"/>
      <c r="D33" s="13" t="n"/>
      <c r="E33" s="13" t="n"/>
      <c r="F33" s="13" t="n"/>
      <c r="G33" s="13" t="n"/>
      <c r="H33" s="13" t="n"/>
      <c r="I33" s="13" t="n"/>
      <c r="J33" s="13" t="n"/>
      <c r="K33" s="13" t="n"/>
      <c r="L33" s="13" t="n"/>
      <c r="M33" s="13" t="n"/>
      <c r="N33" s="13" t="n"/>
      <c r="O33" s="13" t="n"/>
      <c r="P33" s="13" t="n"/>
      <c r="Q33" s="13" t="n"/>
      <c r="R33" s="13" t="n"/>
      <c r="S33" s="13" t="n"/>
      <c r="T33" s="14" t="n"/>
    </row>
    <row r="34">
      <c r="H34" s="7" t="n">
        <v>0</v>
      </c>
    </row>
    <row r="36">
      <c r="B36" s="4" t="inlineStr">
        <is>
          <t>STEP 5: Sigmoid (y_pred = σ(z2))</t>
        </is>
      </c>
    </row>
    <row r="38">
      <c r="B38" s="8" t="inlineStr">
        <is>
          <t>y_pred = 1/(1+e^(--0.062)) = 0.4845</t>
        </is>
      </c>
      <c r="C38" s="13" t="n"/>
      <c r="D38" s="13" t="n"/>
      <c r="E38" s="13" t="n"/>
      <c r="F38" s="13" t="n"/>
      <c r="G38" s="13" t="n"/>
      <c r="H38" s="13" t="n"/>
      <c r="I38" s="13" t="n"/>
      <c r="J38" s="13" t="n"/>
      <c r="K38" s="13" t="n"/>
      <c r="L38" s="14" t="n"/>
    </row>
    <row r="41">
      <c r="B41" s="15" t="inlineStr">
        <is>
          <t>STEP 6: BCE Loss</t>
        </is>
      </c>
    </row>
    <row r="43">
      <c r="B43" s="6" t="inlineStr">
        <is>
          <t>y_true = 1</t>
        </is>
      </c>
    </row>
    <row r="44">
      <c r="B44" s="6" t="inlineStr">
        <is>
          <t>Loss = -[y·log(p) + (1-y)·log(1-p)]</t>
        </is>
      </c>
    </row>
    <row r="45">
      <c r="B45" s="9" t="inlineStr">
        <is>
          <t xml:space="preserve">     = -[1×log(0.4845)] = 0.7246</t>
        </is>
      </c>
    </row>
    <row r="48">
      <c r="B48" s="2">
        <f>== Forward Summary ===</f>
        <v/>
      </c>
    </row>
    <row r="49">
      <c r="B49" s="6" t="inlineStr">
        <is>
          <t>x=[0.5, 0.8, -0.2] → z1=[-0.17, 0.54, -0.05, -0.02] → h=[0, 0.54, 0, 0] → z2=-0.06 → y=0.4845 → Loss=0.7246</t>
        </is>
      </c>
      <c r="C49" s="13" t="n"/>
      <c r="D49" s="13" t="n"/>
      <c r="E49" s="13" t="n"/>
      <c r="F49" s="13" t="n"/>
      <c r="G49" s="13" t="n"/>
      <c r="H49" s="13" t="n"/>
      <c r="I49" s="13" t="n"/>
      <c r="J49" s="13" t="n"/>
      <c r="K49" s="13" t="n"/>
      <c r="L49" s="13" t="n"/>
      <c r="M49" s="13" t="n"/>
      <c r="N49" s="13" t="n"/>
      <c r="O49" s="13" t="n"/>
      <c r="P49" s="13" t="n"/>
      <c r="Q49" s="13" t="n"/>
      <c r="R49" s="13" t="n"/>
      <c r="S49" s="13" t="n"/>
      <c r="T49" s="13" t="n"/>
      <c r="U49" s="13" t="n"/>
      <c r="V49" s="13" t="n"/>
      <c r="W49" s="13" t="n"/>
      <c r="X49" s="13" t="n"/>
      <c r="Y49" s="13" t="n"/>
      <c r="Z49" s="14" t="n"/>
    </row>
  </sheetData>
  <mergeCells count="4">
    <mergeCell ref="B38:L38"/>
    <mergeCell ref="B2:T2"/>
    <mergeCell ref="B49:Z49"/>
    <mergeCell ref="B33:T3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AE67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</cols>
  <sheetData>
    <row r="2">
      <c r="B2" s="15" t="inlineStr">
        <is>
          <t>Backward Propagation: Original → Gradient → Updated</t>
        </is>
      </c>
    </row>
    <row r="4">
      <c r="B4" s="10" t="inlineStr">
        <is>
          <t>Learning Rate: η = 0.1</t>
        </is>
      </c>
    </row>
    <row r="6">
      <c r="B6" s="4" t="inlineStr">
        <is>
          <t>═══ 1. Output Layer Gradient (dL/dz2) ═══</t>
        </is>
      </c>
      <c r="C6" s="13" t="n"/>
      <c r="D6" s="13" t="n"/>
      <c r="E6" s="13" t="n"/>
      <c r="F6" s="13" t="n"/>
      <c r="G6" s="13" t="n"/>
      <c r="H6" s="13" t="n"/>
      <c r="I6" s="13" t="n"/>
      <c r="J6" s="13" t="n"/>
      <c r="K6" s="13" t="n"/>
      <c r="L6" s="13" t="n"/>
      <c r="M6" s="13" t="n"/>
      <c r="N6" s="13" t="n"/>
      <c r="O6" s="13" t="n"/>
      <c r="P6" s="13" t="n"/>
      <c r="Q6" s="13" t="n"/>
      <c r="R6" s="13" t="n"/>
      <c r="S6" s="13" t="n"/>
      <c r="T6" s="14" t="n"/>
    </row>
    <row r="8">
      <c r="B8" s="10" t="inlineStr">
        <is>
          <t>y_pred = 0.4845, y_true = 1</t>
        </is>
      </c>
    </row>
    <row r="9">
      <c r="B9" s="10" t="inlineStr">
        <is>
          <t>For BCE + Sigmoid: dL/dz2 = y_pred - y_true</t>
        </is>
      </c>
    </row>
    <row r="10">
      <c r="B10" s="11" t="inlineStr">
        <is>
          <t>dL/dz2 = 0.4845 - 1 = -0.5155</t>
        </is>
      </c>
    </row>
    <row r="13">
      <c r="B13" s="4" t="inlineStr">
        <is>
          <t>═══ 2. Output Layer Weights (W2, b2) ═══</t>
        </is>
      </c>
      <c r="C13" s="13" t="n"/>
      <c r="D13" s="13" t="n"/>
      <c r="E13" s="13" t="n"/>
      <c r="F13" s="13" t="n"/>
      <c r="G13" s="13" t="n"/>
      <c r="H13" s="13" t="n"/>
      <c r="I13" s="13" t="n"/>
      <c r="J13" s="13" t="n"/>
      <c r="K13" s="13" t="n"/>
      <c r="L13" s="13" t="n"/>
      <c r="M13" s="13" t="n"/>
      <c r="N13" s="13" t="n"/>
      <c r="O13" s="13" t="n"/>
      <c r="P13" s="13" t="n"/>
      <c r="Q13" s="13" t="n"/>
      <c r="R13" s="13" t="n"/>
      <c r="S13" s="13" t="n"/>
      <c r="T13" s="14" t="n"/>
    </row>
    <row r="15">
      <c r="B15" s="10" t="inlineStr">
        <is>
          <t>dL/dW2 = dL/dz2 × h^T</t>
        </is>
      </c>
    </row>
    <row r="17">
      <c r="B17" s="1" t="inlineStr">
        <is>
          <t>W2 (1×4)</t>
        </is>
      </c>
      <c r="D17" s="4" t="inlineStr">
        <is>
          <t>Original</t>
        </is>
      </c>
      <c r="I17" s="16" t="inlineStr">
        <is>
          <t>Gradient</t>
        </is>
      </c>
      <c r="N17" s="17" t="inlineStr">
        <is>
          <t>Updated</t>
        </is>
      </c>
    </row>
    <row r="18">
      <c r="B18" s="6" t="inlineStr">
        <is>
          <t>W2[0][0]</t>
        </is>
      </c>
      <c r="D18" s="8" t="n">
        <v>0.5</v>
      </c>
      <c r="I18" s="11" t="n">
        <v>-0</v>
      </c>
      <c r="N18" s="12" t="n">
        <v>0.5</v>
      </c>
    </row>
    <row r="19">
      <c r="B19" s="6" t="inlineStr">
        <is>
          <t>W2[0][1]</t>
        </is>
      </c>
      <c r="D19" s="8" t="n">
        <v>-0.3</v>
      </c>
      <c r="I19" s="11" t="n">
        <v>-0.2784</v>
      </c>
      <c r="N19" s="12" t="n">
        <v>-0.2722</v>
      </c>
    </row>
    <row r="20">
      <c r="B20" s="6" t="inlineStr">
        <is>
          <t>W2[0][2]</t>
        </is>
      </c>
      <c r="D20" s="8" t="n">
        <v>0.4</v>
      </c>
      <c r="I20" s="11" t="n">
        <v>-0</v>
      </c>
      <c r="N20" s="12" t="n">
        <v>0.4</v>
      </c>
    </row>
    <row r="21">
      <c r="B21" s="6" t="inlineStr">
        <is>
          <t>W2[0][3]</t>
        </is>
      </c>
      <c r="D21" s="8" t="n">
        <v>-0.2</v>
      </c>
      <c r="I21" s="11" t="n">
        <v>-0</v>
      </c>
      <c r="N21" s="12" t="n">
        <v>-0.2</v>
      </c>
    </row>
    <row r="23">
      <c r="B23" s="1" t="inlineStr">
        <is>
          <t>b2</t>
        </is>
      </c>
    </row>
    <row r="24">
      <c r="B24" s="8" t="inlineStr">
        <is>
          <t>Original</t>
        </is>
      </c>
      <c r="D24" s="8" t="n">
        <v>0.1</v>
      </c>
      <c r="F24" s="11" t="inlineStr">
        <is>
          <t>Gradient</t>
        </is>
      </c>
      <c r="H24" s="11" t="n">
        <v>-0.5155</v>
      </c>
      <c r="J24" s="12" t="inlineStr">
        <is>
          <t>Updated</t>
        </is>
      </c>
      <c r="L24" s="12" t="n">
        <v>0.1515</v>
      </c>
    </row>
    <row r="27">
      <c r="B27" s="3" t="inlineStr">
        <is>
          <t>═══ 3. Hidden Layer Gradient (dL/dh, dL/dz1) ═══</t>
        </is>
      </c>
      <c r="C27" s="13" t="n"/>
      <c r="D27" s="13" t="n"/>
      <c r="E27" s="13" t="n"/>
      <c r="F27" s="13" t="n"/>
      <c r="G27" s="13" t="n"/>
      <c r="H27" s="13" t="n"/>
      <c r="I27" s="13" t="n"/>
      <c r="J27" s="13" t="n"/>
      <c r="K27" s="13" t="n"/>
      <c r="L27" s="13" t="n"/>
      <c r="M27" s="13" t="n"/>
      <c r="N27" s="13" t="n"/>
      <c r="O27" s="13" t="n"/>
      <c r="P27" s="13" t="n"/>
      <c r="Q27" s="13" t="n"/>
      <c r="R27" s="13" t="n"/>
      <c r="S27" s="13" t="n"/>
      <c r="T27" s="14" t="n"/>
    </row>
    <row r="29">
      <c r="B29" s="10" t="inlineStr">
        <is>
          <t>dL/dh = W2^T × dL/dz2:</t>
        </is>
      </c>
    </row>
    <row r="30">
      <c r="B30" s="7" t="inlineStr">
        <is>
          <t>dL/dh[0]</t>
        </is>
      </c>
      <c r="D30" s="10">
        <f> 0.5 × -0.5155</f>
        <v/>
      </c>
      <c r="H30" s="7">
        <f> -0.2577</f>
        <v/>
      </c>
    </row>
    <row r="31">
      <c r="B31" s="7" t="inlineStr">
        <is>
          <t>dL/dh[1]</t>
        </is>
      </c>
      <c r="D31" s="10">
        <f> -0.3 × -0.5155</f>
        <v/>
      </c>
      <c r="H31" s="7">
        <f> 0.1546</f>
        <v/>
      </c>
    </row>
    <row r="32">
      <c r="B32" s="7" t="inlineStr">
        <is>
          <t>dL/dh[2]</t>
        </is>
      </c>
      <c r="D32" s="10">
        <f> 0.4 × -0.5155</f>
        <v/>
      </c>
      <c r="H32" s="7">
        <f> -0.2062</f>
        <v/>
      </c>
    </row>
    <row r="33">
      <c r="B33" s="7" t="inlineStr">
        <is>
          <t>dL/dh[3]</t>
        </is>
      </c>
      <c r="D33" s="10">
        <f> -0.2 × -0.5155</f>
        <v/>
      </c>
      <c r="H33" s="7">
        <f> 0.1031</f>
        <v/>
      </c>
    </row>
    <row r="35">
      <c r="B35" s="10" t="inlineStr">
        <is>
          <t>dL/dz1 = dL/dh × ReLU'(z1):</t>
        </is>
      </c>
    </row>
    <row r="36">
      <c r="B36" s="6" t="inlineStr"/>
      <c r="D36" s="1" t="inlineStr">
        <is>
          <t>z1</t>
        </is>
      </c>
      <c r="F36" s="1" t="inlineStr">
        <is>
          <t>ReLU'(z1)</t>
        </is>
      </c>
      <c r="I36" s="1" t="inlineStr">
        <is>
          <t>dL/dh</t>
        </is>
      </c>
      <c r="L36" s="16" t="inlineStr">
        <is>
          <t>dL/dz1</t>
        </is>
      </c>
    </row>
    <row r="37">
      <c r="B37" s="6" t="inlineStr">
        <is>
          <t>[0]</t>
        </is>
      </c>
      <c r="D37" s="7" t="n">
        <v>-0.17</v>
      </c>
      <c r="F37" s="11" t="n">
        <v>0</v>
      </c>
      <c r="I37" s="7" t="n">
        <v>-0.2577</v>
      </c>
      <c r="L37" s="11" t="n">
        <v>-0</v>
      </c>
    </row>
    <row r="38">
      <c r="B38" s="6" t="inlineStr">
        <is>
          <t>[1]</t>
        </is>
      </c>
      <c r="D38" s="7" t="n">
        <v>0.54</v>
      </c>
      <c r="F38" s="12" t="n">
        <v>1</v>
      </c>
      <c r="I38" s="7" t="n">
        <v>0.1546</v>
      </c>
      <c r="L38" s="11" t="n">
        <v>0.1546</v>
      </c>
    </row>
    <row r="39">
      <c r="B39" s="6" t="inlineStr">
        <is>
          <t>[2]</t>
        </is>
      </c>
      <c r="D39" s="7" t="n">
        <v>-0.05</v>
      </c>
      <c r="F39" s="11" t="n">
        <v>0</v>
      </c>
      <c r="I39" s="7" t="n">
        <v>-0.2062</v>
      </c>
      <c r="L39" s="11" t="n">
        <v>-0</v>
      </c>
    </row>
    <row r="40">
      <c r="B40" s="6" t="inlineStr">
        <is>
          <t>[3]</t>
        </is>
      </c>
      <c r="D40" s="7" t="n">
        <v>-0.02</v>
      </c>
      <c r="F40" s="11" t="n">
        <v>0</v>
      </c>
      <c r="I40" s="7" t="n">
        <v>0.1031</v>
      </c>
      <c r="L40" s="11" t="n">
        <v>0</v>
      </c>
    </row>
    <row r="43">
      <c r="B43" s="3" t="inlineStr">
        <is>
          <t>═══ 4. Hidden Layer Weights (W1, b1) ═══</t>
        </is>
      </c>
      <c r="C43" s="13" t="n"/>
      <c r="D43" s="13" t="n"/>
      <c r="E43" s="13" t="n"/>
      <c r="F43" s="13" t="n"/>
      <c r="G43" s="13" t="n"/>
      <c r="H43" s="13" t="n"/>
      <c r="I43" s="13" t="n"/>
      <c r="J43" s="13" t="n"/>
      <c r="K43" s="13" t="n"/>
      <c r="L43" s="13" t="n"/>
      <c r="M43" s="13" t="n"/>
      <c r="N43" s="13" t="n"/>
      <c r="O43" s="13" t="n"/>
      <c r="P43" s="13" t="n"/>
      <c r="Q43" s="13" t="n"/>
      <c r="R43" s="13" t="n"/>
      <c r="S43" s="13" t="n"/>
      <c r="T43" s="14" t="n"/>
    </row>
    <row r="45">
      <c r="B45" s="10" t="inlineStr">
        <is>
          <t>dL/dW1 = dL/dz1 × x^T (outer product)</t>
        </is>
      </c>
    </row>
    <row r="47">
      <c r="B47" s="1" t="inlineStr">
        <is>
          <t>W1 (4×3)</t>
        </is>
      </c>
      <c r="D47" s="3" t="inlineStr">
        <is>
          <t>Original</t>
        </is>
      </c>
      <c r="E47" s="13" t="n"/>
      <c r="F47" s="14" t="n"/>
      <c r="H47" s="16" t="inlineStr">
        <is>
          <t>Gradient</t>
        </is>
      </c>
      <c r="I47" s="13" t="n"/>
      <c r="J47" s="14" t="n"/>
      <c r="L47" s="17" t="inlineStr">
        <is>
          <t>Updated</t>
        </is>
      </c>
      <c r="M47" s="13" t="n"/>
      <c r="N47" s="14" t="n"/>
    </row>
    <row r="48">
      <c r="B48" s="6" t="inlineStr">
        <is>
          <t>row 0</t>
        </is>
      </c>
      <c r="D48" s="7" t="n">
        <v>0.3</v>
      </c>
      <c r="E48" s="7" t="n">
        <v>-0.4</v>
      </c>
      <c r="F48" s="7" t="n">
        <v>0.5</v>
      </c>
      <c r="H48" s="11" t="n">
        <v>-0</v>
      </c>
      <c r="I48" s="11" t="n">
        <v>-0</v>
      </c>
      <c r="J48" s="11" t="n">
        <v>0</v>
      </c>
      <c r="L48" s="12" t="n">
        <v>0.3</v>
      </c>
      <c r="M48" s="12" t="n">
        <v>-0.4</v>
      </c>
      <c r="N48" s="12" t="n">
        <v>0.5</v>
      </c>
    </row>
    <row r="49">
      <c r="B49" s="6" t="inlineStr">
        <is>
          <t>row 1</t>
        </is>
      </c>
      <c r="D49" s="7" t="n">
        <v>0.2</v>
      </c>
      <c r="E49" s="7" t="n">
        <v>0.6</v>
      </c>
      <c r="F49" s="7" t="n">
        <v>-0.3</v>
      </c>
      <c r="H49" s="11" t="n">
        <v>0.07729999999999999</v>
      </c>
      <c r="I49" s="11" t="n">
        <v>0.1237</v>
      </c>
      <c r="J49" s="11" t="n">
        <v>-0.0309</v>
      </c>
      <c r="L49" s="12" t="n">
        <v>0.1923</v>
      </c>
      <c r="M49" s="12" t="n">
        <v>0.5876</v>
      </c>
      <c r="N49" s="12" t="n">
        <v>-0.2969</v>
      </c>
    </row>
    <row r="50">
      <c r="B50" s="6" t="inlineStr">
        <is>
          <t>row 2</t>
        </is>
      </c>
      <c r="D50" s="7" t="n">
        <v>-0.5</v>
      </c>
      <c r="E50" s="7" t="n">
        <v>0.1</v>
      </c>
      <c r="F50" s="7" t="n">
        <v>0.4</v>
      </c>
      <c r="H50" s="11" t="n">
        <v>-0</v>
      </c>
      <c r="I50" s="11" t="n">
        <v>-0</v>
      </c>
      <c r="J50" s="11" t="n">
        <v>0</v>
      </c>
      <c r="L50" s="12" t="n">
        <v>-0.5</v>
      </c>
      <c r="M50" s="12" t="n">
        <v>0.1</v>
      </c>
      <c r="N50" s="12" t="n">
        <v>0.4</v>
      </c>
    </row>
    <row r="51">
      <c r="B51" s="6" t="inlineStr">
        <is>
          <t>row 3</t>
        </is>
      </c>
      <c r="D51" s="7" t="n">
        <v>0.4</v>
      </c>
      <c r="E51" s="7" t="n">
        <v>-0.2</v>
      </c>
      <c r="F51" s="7" t="n">
        <v>0.3</v>
      </c>
      <c r="H51" s="11" t="n">
        <v>0</v>
      </c>
      <c r="I51" s="11" t="n">
        <v>0</v>
      </c>
      <c r="J51" s="11" t="n">
        <v>-0</v>
      </c>
      <c r="L51" s="12" t="n">
        <v>0.4</v>
      </c>
      <c r="M51" s="12" t="n">
        <v>-0.2</v>
      </c>
      <c r="N51" s="12" t="n">
        <v>0.3</v>
      </c>
    </row>
    <row r="53">
      <c r="B53" s="1" t="inlineStr">
        <is>
          <t>b1 (4)</t>
        </is>
      </c>
      <c r="D53" s="3" t="inlineStr">
        <is>
          <t>Original</t>
        </is>
      </c>
      <c r="H53" s="16" t="inlineStr">
        <is>
          <t>Gradient</t>
        </is>
      </c>
      <c r="L53" s="17" t="inlineStr">
        <is>
          <t>Updated</t>
        </is>
      </c>
    </row>
    <row r="54">
      <c r="B54" s="6" t="inlineStr">
        <is>
          <t>b1[0]</t>
        </is>
      </c>
      <c r="D54" s="7" t="n">
        <v>0.1</v>
      </c>
      <c r="H54" s="11" t="n">
        <v>-0</v>
      </c>
      <c r="L54" s="12" t="n">
        <v>0.1</v>
      </c>
    </row>
    <row r="55">
      <c r="B55" s="6" t="inlineStr">
        <is>
          <t>b1[1]</t>
        </is>
      </c>
      <c r="D55" s="7" t="n">
        <v>-0.1</v>
      </c>
      <c r="H55" s="11" t="n">
        <v>0.1546</v>
      </c>
      <c r="L55" s="12" t="n">
        <v>-0.1155</v>
      </c>
    </row>
    <row r="56">
      <c r="B56" s="6" t="inlineStr">
        <is>
          <t>b1[2]</t>
        </is>
      </c>
      <c r="D56" s="7" t="n">
        <v>0.2</v>
      </c>
      <c r="H56" s="11" t="n">
        <v>-0</v>
      </c>
      <c r="L56" s="12" t="n">
        <v>0.2</v>
      </c>
    </row>
    <row r="57">
      <c r="B57" s="6" t="inlineStr">
        <is>
          <t>b1[3]</t>
        </is>
      </c>
      <c r="D57" s="7" t="n">
        <v>0</v>
      </c>
      <c r="H57" s="11" t="n">
        <v>0</v>
      </c>
      <c r="L57" s="12" t="n">
        <v>0</v>
      </c>
    </row>
    <row r="60">
      <c r="B60" s="1" t="inlineStr">
        <is>
          <t>═══ MLP Gradient Flow Summary ═══</t>
        </is>
      </c>
      <c r="C60" s="13" t="n"/>
      <c r="D60" s="13" t="n"/>
      <c r="E60" s="13" t="n"/>
      <c r="F60" s="13" t="n"/>
      <c r="G60" s="13" t="n"/>
      <c r="H60" s="13" t="n"/>
      <c r="I60" s="13" t="n"/>
      <c r="J60" s="13" t="n"/>
      <c r="K60" s="13" t="n"/>
      <c r="L60" s="13" t="n"/>
      <c r="M60" s="13" t="n"/>
      <c r="N60" s="13" t="n"/>
      <c r="O60" s="13" t="n"/>
      <c r="P60" s="13" t="n"/>
      <c r="Q60" s="13" t="n"/>
      <c r="R60" s="13" t="n"/>
      <c r="S60" s="13" t="n"/>
      <c r="T60" s="14" t="n"/>
    </row>
    <row r="62">
      <c r="B62" s="10" t="inlineStr">
        <is>
          <t>1. Loss → Sigmoid: dL/dz2 = y_pred - y_true (BCE+Sigmoid combined)</t>
        </is>
      </c>
    </row>
    <row r="63">
      <c r="B63" s="10" t="inlineStr">
        <is>
          <t>2. Output Layer: dL/dW2 = dL/dz2 × h^T, dL/db2 = dL/dz2</t>
        </is>
      </c>
    </row>
    <row r="64">
      <c r="B64" s="10" t="inlineStr">
        <is>
          <t>3. Hidden Activation: dL/dh = W2^T × dL/dz2</t>
        </is>
      </c>
    </row>
    <row r="65">
      <c r="B65" s="10" t="inlineStr">
        <is>
          <t>4. ReLU Backward: dL/dz1 = dL/dh × ReLU'(z1)</t>
        </is>
      </c>
    </row>
    <row r="66">
      <c r="B66" s="10" t="inlineStr">
        <is>
          <t>5. Hidden Layer: dL/dW1 = dL/dz1 × x^T, dL/db1 = dL/dz1</t>
        </is>
      </c>
    </row>
    <row r="67">
      <c r="B67" s="10" t="inlineStr">
        <is>
          <t>6. Update: W_new = W_old - η × gradient</t>
        </is>
      </c>
    </row>
  </sheetData>
  <mergeCells count="9">
    <mergeCell ref="B60:T60"/>
    <mergeCell ref="B27:T27"/>
    <mergeCell ref="B13:T13"/>
    <mergeCell ref="H47:J47"/>
    <mergeCell ref="B2:AE2"/>
    <mergeCell ref="L47:N47"/>
    <mergeCell ref="B43:T43"/>
    <mergeCell ref="B6:T6"/>
    <mergeCell ref="D47:F4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B27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</cols>
  <sheetData>
    <row r="2">
      <c r="B2" s="1">
        <f>== Answer Key ===</f>
        <v/>
      </c>
    </row>
    <row r="4">
      <c r="B4" s="2" t="inlineStr">
        <is>
          <t>Forward Pass:</t>
        </is>
      </c>
    </row>
    <row r="5">
      <c r="B5" s="6" t="inlineStr">
        <is>
          <t>z1 = [-0.17, 0.54, -0.05, -0.02]</t>
        </is>
      </c>
    </row>
    <row r="6">
      <c r="B6" s="6" t="inlineStr">
        <is>
          <t>h = [0, 0.54, 0, 0]</t>
        </is>
      </c>
    </row>
    <row r="7">
      <c r="B7" s="6" t="inlineStr">
        <is>
          <t>z2 = -0.062</t>
        </is>
      </c>
    </row>
    <row r="8">
      <c r="B8" s="6" t="inlineStr">
        <is>
          <t>y_pred = 0.4845</t>
        </is>
      </c>
    </row>
    <row r="9">
      <c r="B9" s="6" t="inlineStr">
        <is>
          <t>Loss = 0.7246</t>
        </is>
      </c>
    </row>
    <row r="11">
      <c r="B11" s="15" t="inlineStr">
        <is>
          <t>Backward Pass:</t>
        </is>
      </c>
    </row>
    <row r="12">
      <c r="B12" s="6" t="inlineStr">
        <is>
          <t>dL/dz2 = -0.5155</t>
        </is>
      </c>
    </row>
    <row r="13">
      <c r="B13" s="6" t="inlineStr">
        <is>
          <t>dL/dW2 = [-0.0, -0.2784, -0.0, -0.0]</t>
        </is>
      </c>
    </row>
    <row r="14">
      <c r="B14" s="6" t="inlineStr">
        <is>
          <t>dL/db2 = -0.5155</t>
        </is>
      </c>
    </row>
    <row r="15">
      <c r="B15" s="6" t="inlineStr">
        <is>
          <t>dL/dh = [-0.2577, 0.1546, -0.2062, 0.1031]</t>
        </is>
      </c>
    </row>
    <row r="16">
      <c r="B16" s="6" t="inlineStr">
        <is>
          <t>dL/dz1 = [-0.0, 0.1546, -0.0, 0.0]</t>
        </is>
      </c>
    </row>
    <row r="17">
      <c r="B17" s="6" t="inlineStr">
        <is>
          <t>dL/db1 = [-0.0, 0.1546, -0.0, 0.0]</t>
        </is>
      </c>
    </row>
    <row r="19">
      <c r="B19" s="3" t="inlineStr">
        <is>
          <t>Updated Weights:</t>
        </is>
      </c>
    </row>
    <row r="20">
      <c r="B20" s="6" t="inlineStr">
        <is>
          <t>W1_new:</t>
        </is>
      </c>
    </row>
    <row r="21">
      <c r="B21" s="6" t="inlineStr">
        <is>
          <t xml:space="preserve">  [0.3, -0.4, 0.5]</t>
        </is>
      </c>
    </row>
    <row r="22">
      <c r="B22" s="6" t="inlineStr">
        <is>
          <t xml:space="preserve">  [0.1923, 0.5876, -0.2969]</t>
        </is>
      </c>
    </row>
    <row r="23">
      <c r="B23" s="6" t="inlineStr">
        <is>
          <t xml:space="preserve">  [-0.5, 0.1, 0.4]</t>
        </is>
      </c>
    </row>
    <row r="24">
      <c r="B24" s="6" t="inlineStr">
        <is>
          <t xml:space="preserve">  [0.4, -0.2, 0.3]</t>
        </is>
      </c>
    </row>
    <row r="25">
      <c r="B25" s="6" t="inlineStr">
        <is>
          <t>b1_new = [0.1, -0.1155, 0.2, 0.0]</t>
        </is>
      </c>
    </row>
    <row r="26">
      <c r="B26" s="6" t="inlineStr">
        <is>
          <t>W2_new = [0.5, -0.2722, 0.4, -0.2]</t>
        </is>
      </c>
    </row>
    <row r="27">
      <c r="B27" s="6" t="inlineStr">
        <is>
          <t>b2_new = 0.1515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2026-01-20T07:02:02Z</dcterms:created>
  <dcterms:modified xmlns:dcterms="http://purl.org/dc/terms/" xmlns:xsi="http://www.w3.org/2001/XMLSchema-instance" xsi:type="dcterms:W3CDTF">2026-01-20T07:02:03Z</dcterms:modified>
</cp:coreProperties>
</file>