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Overview" sheetId="1" state="visible" r:id="rId1"/>
    <sheet xmlns:r="http://schemas.openxmlformats.org/officeDocument/2006/relationships" name="Forward" sheetId="2" state="visible" r:id="rId2"/>
    <sheet xmlns:r="http://schemas.openxmlformats.org/officeDocument/2006/relationships" name="Backward" sheetId="3" state="visible" r:id="rId3"/>
    <sheet xmlns:r="http://schemas.openxmlformats.org/officeDocument/2006/relationships" name="Answer_Key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<sst xmlns="http://schemas.openxmlformats.org/spreadsheetml/2006/main" uniqueCount="130">
  <si>
    <t>MLP Forward &amp; Backward Propagation</t>
  </si>
  <si>
    <t>Structure: Input(3) → Hidden(4, ReLU) → Output(1, Sigmoid) → BCE Loss</t>
  </si>
  <si>
    <t>Network Diagram</t>
  </si>
  <si>
    <t>Input (3)</t>
  </si>
  <si>
    <t>Hidden (4)</t>
  </si>
  <si>
    <t>Output (1)</t>
  </si>
  <si>
    <t>x0=0.5</t>
  </si>
  <si>
    <t>→</t>
  </si>
  <si>
    <t>h0</t>
  </si>
  <si>
    <t>x1=0.8</t>
  </si>
  <si>
    <t>W1,b1</t>
  </si>
  <si>
    <t>h1</t>
  </si>
  <si>
    <t>W2,b2</t>
  </si>
  <si>
    <t>y</t>
  </si>
  <si>
    <t>→ Loss</t>
  </si>
  <si>
    <t>x2=-0.2</t>
  </si>
  <si>
    <t>h2</t>
  </si>
  <si>
    <t>h3</t>
  </si>
  <si>
    <t>Parameters</t>
  </si>
  <si>
    <t>W1 (4×3)</t>
  </si>
  <si>
    <t>b1 (4)</t>
  </si>
  <si>
    <t>W2 (1×4)</t>
  </si>
  <si>
    <t>b2</t>
  </si>
  <si>
    <t>Target: y_true = 1</t>
  </si>
  <si>
    <t>Learning Rate: η = 0.1</t>
  </si>
  <si>
    <t>Forward Propagation: Input → Hidden → Output → Loss</t>
  </si>
  <si>
    <t>STEP 1: Input</t>
  </si>
  <si>
    <t>x =</t>
  </si>
  <si>
    <t>STEP 2: Linear (z1 = W1·x + b1)</t>
  </si>
  <si>
    <t>×</t>
  </si>
  <si>
    <t>x (3×1)</t>
  </si>
  <si>
    <t>+</t>
  </si>
  <si>
    <t>=</t>
  </si>
  <si>
    <t>z1 (4)</t>
  </si>
  <si>
    <t>Calculation:</t>
  </si>
  <si>
    <t>z1[0] = (0.3×0.5) + (-0.4×0.8) + (0.5×-0.2) + 0.1</t>
  </si>
  <si>
    <t>z1[1] = (0.2×0.5) + (0.6×0.8) + (-0.3×-0.2) + -0.1</t>
  </si>
  <si>
    <t>z1[2] = (-0.5×0.5) + (0.1×0.8) + (0.4×-0.2) + 0.2</t>
  </si>
  <si>
    <t>z1[3] = (0.4×0.5) + (-0.2×0.8) + (0.3×-0.2) + 0.0</t>
  </si>
  <si>
    <t>STEP 3: ReLU (h = max(0, z1))</t>
  </si>
  <si>
    <t>→ ReLU →</t>
  </si>
  <si>
    <t>h (4)</t>
  </si>
  <si>
    <t>Red→0 (negative)</t>
  </si>
  <si>
    <t>STEP 4: Linear (z2 = W2·h + b2)</t>
  </si>
  <si>
    <t>h (4×1)</t>
  </si>
  <si>
    <t>z2</t>
  </si>
  <si>
    <t>z2 = (0.5×0) + (-0.3×0.54) + (0.4×0) + (-0.2×0) + 0.1 = -0.062</t>
  </si>
  <si>
    <t>STEP 5: Sigmoid (y_pred = σ(z2))</t>
  </si>
  <si>
    <t>y_pred = 1/(1+e^(--0.062)) = 0.4845</t>
  </si>
  <si>
    <t>STEP 6: BCE Loss</t>
  </si>
  <si>
    <t>y_true = 1</t>
  </si>
  <si>
    <t>Loss = -[y·log(p) + (1-y)·log(1-p)]</t>
  </si>
  <si>
    <t xml:space="preserve">     = -[1×log(0.4845)] = 0.7246</t>
  </si>
  <si>
    <t>x=[0.5, 0.8, -0.2] → z1=[-0.17, 0.54, -0.05, -0.02] → h=[0, 0.54, 0, 0] → z2=-0.06 → y=0.4845 → Loss=0.7246</t>
  </si>
  <si>
    <t>Backward Propagation: Original → Gradient → Updated</t>
  </si>
  <si>
    <t>═══ 1. Output Layer Gradient (dL/dz2) ═══</t>
  </si>
  <si>
    <t>y_pred = 0.4845, y_true = 1</t>
  </si>
  <si>
    <t>For BCE + Sigmoid: dL/dz2 = y_pred - y_true</t>
  </si>
  <si>
    <t>dL/dz2 = 0.4845 - 1 = -0.5155</t>
  </si>
  <si>
    <t>═══ 2. Output Layer Weights (W2, b2) ═══</t>
  </si>
  <si>
    <t>dL/dW2 = dL/dz2 × h^T</t>
  </si>
  <si>
    <t>Original</t>
  </si>
  <si>
    <t>Gradient</t>
  </si>
  <si>
    <t>Updated</t>
  </si>
  <si>
    <t>W2[0][0]</t>
  </si>
  <si>
    <t>W2[0][1]</t>
  </si>
  <si>
    <t>W2[0][2]</t>
  </si>
  <si>
    <t>W2[0][3]</t>
  </si>
  <si>
    <t>═══ 3. Hidden Layer Gradient (dL/dh, dL/dz1) ═══</t>
  </si>
  <si>
    <t>dL/dh = W2^T × dL/dz2:</t>
  </si>
  <si>
    <t>dL/dh[0]</t>
  </si>
  <si>
    <t>'= 0.5 × -0.5155</t>
  </si>
  <si>
    <t>'= -0.2577</t>
  </si>
  <si>
    <t>dL/dh[1]</t>
  </si>
  <si>
    <t>'= -0.3 × -0.5155</t>
  </si>
  <si>
    <t>'= 0.1546</t>
  </si>
  <si>
    <t>dL/dh[2]</t>
  </si>
  <si>
    <t>'= 0.4 × -0.5155</t>
  </si>
  <si>
    <t>'= -0.2062</t>
  </si>
  <si>
    <t>dL/dh[3]</t>
  </si>
  <si>
    <t>'= -0.2 × -0.5155</t>
  </si>
  <si>
    <t>'= 0.1031</t>
  </si>
  <si>
    <t>dL/dz1 = dL/dh × ReLU'(z1):</t>
  </si>
  <si>
    <t>z1</t>
  </si>
  <si>
    <t>ReLU'(z1)</t>
  </si>
  <si>
    <t>dL/dh</t>
  </si>
  <si>
    <t>dL/dz1</t>
  </si>
  <si>
    <t>[0]</t>
  </si>
  <si>
    <t>[1]</t>
  </si>
  <si>
    <t>[2]</t>
  </si>
  <si>
    <t>[3]</t>
  </si>
  <si>
    <t>═══ 4. Hidden Layer Weights (W1, b1) ═══</t>
  </si>
  <si>
    <t>dL/dW1 = dL/dz1 × x^T (outer product)</t>
  </si>
  <si>
    <t>row 0</t>
  </si>
  <si>
    <t>row 1</t>
  </si>
  <si>
    <t>row 2</t>
  </si>
  <si>
    <t>row 3</t>
  </si>
  <si>
    <t>b1[0]</t>
  </si>
  <si>
    <t>b1[1]</t>
  </si>
  <si>
    <t>b1[2]</t>
  </si>
  <si>
    <t>b1[3]</t>
  </si>
  <si>
    <t>═══ MLP Gradient Flow Summary ═══</t>
  </si>
  <si>
    <t>1. Loss → Sigmoid: dL/dz2 = y_pred - y_true (BCE+Sigmoid combined)</t>
  </si>
  <si>
    <t>2. Output Layer: dL/dW2 = dL/dz2 × h^T, dL/db2 = dL/dz2</t>
  </si>
  <si>
    <t>3. Hidden Activation: dL/dh = W2^T × dL/dz2</t>
  </si>
  <si>
    <t>4. ReLU Backward: dL/dz1 = dL/dh × ReLU'(z1)</t>
  </si>
  <si>
    <t>5. Hidden Layer: dL/dW1 = dL/dz1 × x^T, dL/db1 = dL/dz1</t>
  </si>
  <si>
    <t>6. Update: W_new = W_old - η × gradient</t>
  </si>
  <si>
    <t>Forward Pass:</t>
  </si>
  <si>
    <t>z1 = [-0.17, 0.54, -0.05, -0.02]</t>
  </si>
  <si>
    <t>h = [0, 0.54, 0, 0]</t>
  </si>
  <si>
    <t>z2 = -0.062</t>
  </si>
  <si>
    <t>y_pred = 0.4845</t>
  </si>
  <si>
    <t>Loss = 0.7246</t>
  </si>
  <si>
    <t>Backward Pass:</t>
  </si>
  <si>
    <t>dL/dz2 = -0.5155</t>
  </si>
  <si>
    <t>dL/dW2 = [-0.0, -0.2784, -0.0, -0.0]</t>
  </si>
  <si>
    <t>dL/db2 = -0.5155</t>
  </si>
  <si>
    <t>dL/dh = [-0.2577, 0.1546, -0.2062, 0.1031]</t>
  </si>
  <si>
    <t>dL/dz1 = [-0.0, 0.1546, -0.0, 0.0]</t>
  </si>
  <si>
    <t>dL/db1 = [-0.0, 0.1546, -0.0, 0.0]</t>
  </si>
  <si>
    <t>Updated Weights:</t>
  </si>
  <si>
    <t>W1_new:</t>
  </si>
  <si>
    <t xml:space="preserve">  [0.3, -0.4, 0.5]</t>
  </si>
  <si>
    <t xml:space="preserve">  [0.1923, 0.5876, -0.2969]</t>
  </si>
  <si>
    <t xml:space="preserve">  [-0.5, 0.1, 0.4]</t>
  </si>
  <si>
    <t xml:space="preserve">  [0.4, -0.2, 0.3]</t>
  </si>
  <si>
    <t>b1_new = [0.1, -0.1155, 0.2, 0.0]</t>
  </si>
  <si>
    <t>W2_new = [0.5, -0.2722, 0.4, -0.2]</t>
  </si>
  <si>
    <t>b2_new = 0.1515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</si>
</sst>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AEEF3"/>
        <bgColor rgb="00DAEEF3"/>
      </patternFill>
    </fill>
    <fill>
      <patternFill patternType="solid">
        <fgColor rgb="00D8E4BC"/>
        <bgColor rgb="00D8E4BC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8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applyAlignment="1" borderId="1" fillId="3" fontId="1" numFmtId="0" pivotButton="0" quotePrefix="0" xfId="0">
      <alignment horizontal="center" vertical="center"/>
    </xf>
    <xf applyAlignment="1" borderId="1" fillId="4" fontId="1" numFmtId="0" pivotButton="0" quotePrefix="0" xfId="0">
      <alignment horizontal="center" vertical="center"/>
    </xf>
    <xf applyAlignment="1" borderId="1" fillId="5" fontId="1" numFmtId="0" pivotButton="0" quotePrefix="0" xfId="0">
      <alignment horizontal="center" vertical="center"/>
    </xf>
    <xf applyAlignment="1" borderId="1" fillId="3" fontId="0" numFmtId="0" pivotButton="0" quotePrefix="0" xfId="0">
      <alignment horizontal="center" vertical="center"/>
    </xf>
    <xf applyAlignment="1" borderId="1" fillId="2" fontId="0" numFmtId="0" pivotButton="0" quotePrefix="0" xfId="0">
      <alignment horizontal="center" vertical="center"/>
    </xf>
    <xf applyAlignment="1" borderId="1" fillId="4" fontId="0" numFmtId="0" pivotButton="0" quotePrefix="0" xfId="0">
      <alignment horizontal="center" vertical="center"/>
    </xf>
    <xf applyAlignment="1" borderId="1" fillId="5" fontId="0" numFmtId="0" pivotButton="0" quotePrefix="0" xfId="0">
      <alignment horizontal="center" vertical="center"/>
    </xf>
    <xf applyAlignment="1" borderId="1" fillId="6" fontId="0" numFmtId="0" pivotButton="0" quotePrefix="0" xfId="0">
      <alignment horizontal="center" vertical="center"/>
    </xf>
    <xf borderId="0" fillId="2" fontId="0" numFmtId="0" pivotButton="0" quotePrefix="0" xfId="0"/>
    <xf applyAlignment="1" borderId="1" fillId="7" fontId="0" numFmtId="0" pivotButton="0" quotePrefix="0" xfId="0">
      <alignment horizontal="center" vertical="center"/>
    </xf>
    <xf applyAlignment="1" borderId="1" fillId="8" fontId="0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applyAlignment="1" borderId="1" fillId="6" fontId="1" numFmtId="0" pivotButton="0" quotePrefix="0" xfId="0">
      <alignment horizontal="center" vertical="center"/>
    </xf>
    <xf applyAlignment="1" borderId="1" fillId="7" fontId="1" numFmtId="0" pivotButton="0" quotePrefix="0" xfId="0">
      <alignment horizontal="center" vertical="center"/>
    </xf>
    <xf applyAlignment="1" borderId="1" fillId="8" fontId="1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5"/>
  <sheetViews>
    <sheetView workbookViewId="0">
      <selection activeCell="A1" sqref="A1"/>
    </sheetView>
  </sheetViews>
  <sheetFormatPr baseColWidth="8" defaultRowHeight="15" outlineLevelCol="0"/>
  <cols>
    <col customWidth="1" max="1" min="1" width="7"/>
    <col customWidth="1" max="2" min="2" width="7"/>
    <col customWidth="1" max="3" min="3" width="7"/>
    <col customWidth="1" max="4" min="4" width="7"/>
    <col customWidth="1" max="5" min="5" width="7"/>
    <col customWidth="1" max="6" min="6" width="7"/>
    <col customWidth="1" max="7" min="7" width="7"/>
    <col customWidth="1" max="8" min="8" width="7"/>
    <col customWidth="1" max="9" min="9" width="7"/>
    <col customWidth="1" max="10" min="10" width="7"/>
    <col customWidth="1" max="11" min="11" width="7"/>
    <col customWidth="1" max="12" min="12" width="7"/>
    <col customWidth="1" max="13" min="13" width="7"/>
    <col customWidth="1" max="14" min="14" width="7"/>
    <col customWidth="1" max="15" min="15" width="7"/>
    <col customWidth="1" max="16" min="16" width="7"/>
    <col customWidth="1" max="17" min="17" width="7"/>
    <col customWidth="1" max="18" min="18" width="7"/>
    <col customWidth="1" max="19" min="19" width="7"/>
  </cols>
  <sheetData>
    <row r="2" spans="1:15">
      <c r="B2" s="1" t="s">
        <v>0</v>
      </c>
    </row>
    <row r="4" spans="1:15">
      <c r="B4" s="1" t="s">
        <v>1</v>
      </c>
    </row>
    <row r="7" spans="1:15">
      <c r="B7" s="2" t="s">
        <v>2</v>
      </c>
    </row>
    <row r="9" spans="1:15">
      <c r="C9" s="2" t="s">
        <v>3</v>
      </c>
      <c r="G9" s="3" t="s">
        <v>4</v>
      </c>
      <c r="K9" s="4" t="s">
        <v>5</v>
      </c>
    </row>
    <row r="10" spans="1:15">
      <c r="C10" s="5" t="s">
        <v>6</v>
      </c>
      <c r="E10" s="6" t="s">
        <v>7</v>
      </c>
      <c r="G10" s="7" t="s">
        <v>8</v>
      </c>
      <c r="I10" s="6" t="s">
        <v>7</v>
      </c>
    </row>
    <row r="11" spans="1:15">
      <c r="C11" s="5" t="s">
        <v>9</v>
      </c>
      <c r="E11" s="6" t="s">
        <v>10</v>
      </c>
      <c r="G11" s="7" t="s">
        <v>11</v>
      </c>
      <c r="I11" s="6" t="s">
        <v>12</v>
      </c>
      <c r="K11" s="8" t="s">
        <v>13</v>
      </c>
      <c r="M11" s="9" t="s">
        <v>14</v>
      </c>
    </row>
    <row r="12" spans="1:15">
      <c r="C12" s="5" t="s">
        <v>15</v>
      </c>
      <c r="E12" s="6" t="s">
        <v>7</v>
      </c>
      <c r="G12" s="7" t="s">
        <v>16</v>
      </c>
      <c r="I12" s="6" t="s">
        <v>7</v>
      </c>
    </row>
    <row r="13" spans="1:15">
      <c r="G13" s="7" t="s">
        <v>17</v>
      </c>
    </row>
    <row r="16" spans="1:15">
      <c r="B16" s="1" t="s">
        <v>18</v>
      </c>
    </row>
    <row r="18" spans="1:15">
      <c r="B18" s="3" t="s">
        <v>19</v>
      </c>
      <c r="G18" s="3" t="s">
        <v>20</v>
      </c>
      <c r="J18" s="4" t="s">
        <v>21</v>
      </c>
      <c r="O18" s="4" t="s">
        <v>22</v>
      </c>
    </row>
    <row r="19" spans="1:15">
      <c r="B19" s="7" t="n">
        <v>0.3</v>
      </c>
      <c r="C19" s="7" t="n">
        <v>-0.4</v>
      </c>
      <c r="D19" s="7" t="n">
        <v>0.5</v>
      </c>
      <c r="G19" s="7" t="n">
        <v>0.1</v>
      </c>
      <c r="J19" s="8" t="n">
        <v>0.5</v>
      </c>
      <c r="K19" s="8" t="n">
        <v>-0.3</v>
      </c>
      <c r="L19" s="8" t="n">
        <v>0.4</v>
      </c>
      <c r="M19" s="8" t="n">
        <v>-0.2</v>
      </c>
      <c r="O19" s="8" t="n">
        <v>0.1</v>
      </c>
    </row>
    <row r="20" spans="1:15">
      <c r="B20" s="7" t="n">
        <v>0.2</v>
      </c>
      <c r="C20" s="7" t="n">
        <v>0.6</v>
      </c>
      <c r="D20" s="7" t="n">
        <v>-0.3</v>
      </c>
      <c r="G20" s="7" t="n">
        <v>-0.1</v>
      </c>
    </row>
    <row r="21" spans="1:15">
      <c r="B21" s="7" t="n">
        <v>-0.5</v>
      </c>
      <c r="C21" s="7" t="n">
        <v>0.1</v>
      </c>
      <c r="D21" s="7" t="n">
        <v>0.4</v>
      </c>
      <c r="G21" s="7" t="n">
        <v>0.2</v>
      </c>
    </row>
    <row r="22" spans="1:15">
      <c r="B22" s="7" t="n">
        <v>0.4</v>
      </c>
      <c r="C22" s="7" t="n">
        <v>-0.2</v>
      </c>
      <c r="D22" s="7" t="n">
        <v>0.3</v>
      </c>
      <c r="G22" s="7" t="n">
        <v>0</v>
      </c>
    </row>
    <row r="24" spans="1:15">
      <c r="B24" s="6" t="s">
        <v>23</v>
      </c>
    </row>
    <row r="25" spans="1:15">
      <c r="B25" s="6" t="s">
        <v>24</v>
      </c>
    </row>
  </sheetData>
  <mergeCells count="2">
    <mergeCell ref="B4:T4"/>
    <mergeCell ref="B2:T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 outlineLevelCol="0"/>
  <cols>
    <col customWidth="1" max="1" min="1" width="6"/>
    <col customWidth="1" max="2" min="2" width="6"/>
    <col customWidth="1" max="3" min="3" width="6"/>
    <col customWidth="1" max="4" min="4" width="6"/>
    <col customWidth="1" max="5" min="5" width="6"/>
    <col customWidth="1" max="6" min="6" width="6"/>
    <col customWidth="1" max="7" min="7" width="6"/>
    <col customWidth="1" max="8" min="8" width="6"/>
    <col customWidth="1" max="9" min="9" width="6"/>
    <col customWidth="1" max="10" min="10" width="6"/>
    <col customWidth="1" max="11" min="11" width="6"/>
    <col customWidth="1" max="12" min="12" width="6"/>
    <col customWidth="1" max="13" min="13" width="6"/>
    <col customWidth="1" max="14" min="14" width="6"/>
    <col customWidth="1" max="15" min="15" width="6"/>
    <col customWidth="1" max="16" min="16" width="6"/>
    <col customWidth="1" max="17" min="17" width="6"/>
    <col customWidth="1" max="18" min="18" width="6"/>
    <col customWidth="1" max="19" min="19" width="6"/>
    <col customWidth="1" max="20" min="20" width="6"/>
    <col customWidth="1" max="21" min="21" width="6"/>
    <col customWidth="1" max="22" min="22" width="6"/>
    <col customWidth="1" max="23" min="23" width="6"/>
    <col customWidth="1" max="24" min="24" width="6"/>
    <col customWidth="1" max="25" min="25" width="6"/>
    <col customWidth="1" max="26" min="26" width="6"/>
    <col customWidth="1" max="27" min="27" width="6"/>
    <col customWidth="1" max="28" min="28" width="6"/>
    <col customWidth="1" max="29" min="29" width="6"/>
  </cols>
  <sheetData>
    <row r="1" spans="1:16"/>
    <row r="2" spans="1:16">
      <c r="B2" s="3" t="s">
        <v>25</v>
      </c>
    </row>
    <row r="3" spans="1:16"/>
    <row r="4" spans="1:16"/>
    <row r="5" spans="1:16">
      <c r="B5" s="2" t="s">
        <v>26</v>
      </c>
    </row>
    <row r="6" spans="1:16"/>
    <row r="7" spans="1:16">
      <c r="B7" s="6" t="s">
        <v>27</v>
      </c>
      <c r="C7" s="5" t="n">
        <v>0.5</v>
      </c>
      <c r="D7" s="5" t="n">
        <v>0.8</v>
      </c>
      <c r="E7" s="5" t="n">
        <v>-0.2</v>
      </c>
    </row>
    <row r="8" spans="1:16"/>
    <row r="9" spans="1:16"/>
    <row r="10" spans="1:16">
      <c r="B10" s="3" t="s">
        <v>28</v>
      </c>
    </row>
    <row r="11" spans="1:16"/>
    <row r="12" spans="1:16">
      <c r="B12" s="3" t="s">
        <v>19</v>
      </c>
      <c r="F12" s="6" t="s">
        <v>29</v>
      </c>
      <c r="G12" s="2" t="s">
        <v>30</v>
      </c>
      <c r="I12" s="6" t="s">
        <v>31</v>
      </c>
      <c r="J12" s="3" t="s">
        <v>20</v>
      </c>
      <c r="L12" s="6" t="s">
        <v>32</v>
      </c>
      <c r="M12" s="3" t="s">
        <v>33</v>
      </c>
      <c r="P12" s="1" t="s">
        <v>34</v>
      </c>
    </row>
    <row r="13" spans="1:16">
      <c r="B13" s="7" t="n">
        <v>0.3</v>
      </c>
      <c r="C13" s="7" t="n">
        <v>-0.4</v>
      </c>
      <c r="D13" s="7" t="n">
        <v>0.5</v>
      </c>
      <c r="G13" s="5" t="n">
        <v>0.5</v>
      </c>
      <c r="J13" s="7" t="n">
        <v>0.1</v>
      </c>
      <c r="M13" s="7" t="n">
        <v>-0.17</v>
      </c>
      <c r="P13" s="10" t="s">
        <v>35</v>
      </c>
    </row>
    <row r="14" spans="1:16">
      <c r="B14" s="7" t="n">
        <v>0.2</v>
      </c>
      <c r="C14" s="7" t="n">
        <v>0.6</v>
      </c>
      <c r="D14" s="7" t="n">
        <v>-0.3</v>
      </c>
      <c r="G14" s="5" t="n">
        <v>0.8</v>
      </c>
      <c r="J14" s="7" t="n">
        <v>-0.1</v>
      </c>
      <c r="M14" s="7" t="n">
        <v>0.54</v>
      </c>
      <c r="P14" s="10" t="s">
        <v>36</v>
      </c>
    </row>
    <row r="15" spans="1:16">
      <c r="B15" s="7" t="n">
        <v>-0.5</v>
      </c>
      <c r="C15" s="7" t="n">
        <v>0.1</v>
      </c>
      <c r="D15" s="7" t="n">
        <v>0.4</v>
      </c>
      <c r="G15" s="5" t="n">
        <v>-0.2</v>
      </c>
      <c r="J15" s="7" t="n">
        <v>0.2</v>
      </c>
      <c r="M15" s="7" t="n">
        <v>-0.05</v>
      </c>
      <c r="P15" s="10" t="s">
        <v>37</v>
      </c>
    </row>
    <row r="16" spans="1:16">
      <c r="B16" s="7" t="n">
        <v>0.4</v>
      </c>
      <c r="C16" s="7" t="n">
        <v>-0.2</v>
      </c>
      <c r="D16" s="7" t="n">
        <v>0.3</v>
      </c>
      <c r="J16" s="7" t="n">
        <v>0</v>
      </c>
      <c r="M16" s="7" t="n">
        <v>-0.02</v>
      </c>
      <c r="P16" s="10" t="s">
        <v>38</v>
      </c>
    </row>
    <row r="17" spans="1:16"/>
    <row r="18" spans="1:16"/>
    <row r="19" spans="1:16">
      <c r="B19" s="3" t="s">
        <v>39</v>
      </c>
    </row>
    <row r="20" spans="1:16"/>
    <row r="21" spans="1:16">
      <c r="B21" s="3" t="s">
        <v>33</v>
      </c>
      <c r="D21" s="6" t="s">
        <v>40</v>
      </c>
      <c r="G21" s="3" t="s">
        <v>41</v>
      </c>
    </row>
    <row r="22" spans="1:16">
      <c r="B22" s="11" t="n">
        <v>-0.17</v>
      </c>
      <c r="G22" s="12" t="n">
        <v>0</v>
      </c>
      <c r="I22" s="6" t="s">
        <v>42</v>
      </c>
    </row>
    <row r="23" spans="1:16">
      <c r="B23" s="7" t="n">
        <v>0.54</v>
      </c>
      <c r="G23" s="7" t="n">
        <v>0.54</v>
      </c>
    </row>
    <row r="24" spans="1:16">
      <c r="B24" s="11" t="n">
        <v>-0.05</v>
      </c>
      <c r="G24" s="12" t="n">
        <v>0</v>
      </c>
    </row>
    <row r="25" spans="1:16">
      <c r="B25" s="11" t="n">
        <v>-0.02</v>
      </c>
      <c r="G25" s="12" t="n">
        <v>0</v>
      </c>
    </row>
    <row r="26" spans="1:16"/>
    <row r="27" spans="1:16"/>
    <row r="28" spans="1:16">
      <c r="B28" s="4" t="s">
        <v>43</v>
      </c>
    </row>
    <row r="29" spans="1:16"/>
    <row r="30" spans="1:16">
      <c r="B30" s="4" t="s">
        <v>21</v>
      </c>
      <c r="G30" s="6" t="s">
        <v>29</v>
      </c>
      <c r="H30" s="3" t="s">
        <v>44</v>
      </c>
      <c r="J30" s="6" t="s">
        <v>31</v>
      </c>
      <c r="K30" s="4" t="s">
        <v>22</v>
      </c>
      <c r="M30" s="6" t="s">
        <v>32</v>
      </c>
      <c r="N30" s="4" t="s">
        <v>45</v>
      </c>
    </row>
    <row r="31" spans="1:16">
      <c r="B31" s="8" t="n">
        <v>0.5</v>
      </c>
      <c r="C31" s="8" t="n">
        <v>-0.3</v>
      </c>
      <c r="D31" s="8" t="n">
        <v>0.4</v>
      </c>
      <c r="E31" s="8" t="n">
        <v>-0.2</v>
      </c>
      <c r="H31" s="7" t="n">
        <v>0</v>
      </c>
      <c r="K31" s="8" t="n">
        <v>0.1</v>
      </c>
      <c r="N31" s="8" t="n">
        <v>-0.062</v>
      </c>
    </row>
    <row r="32" spans="1:16">
      <c r="H32" s="7" t="n">
        <v>0.54</v>
      </c>
    </row>
    <row r="33" spans="1:16">
      <c r="B33" s="6" t="s">
        <v>46</v>
      </c>
    </row>
    <row r="34" spans="1:16">
      <c r="H34" s="7" t="n">
        <v>0</v>
      </c>
    </row>
    <row r="35" spans="1:16"/>
    <row r="36" spans="1:16">
      <c r="B36" s="4" t="s">
        <v>47</v>
      </c>
    </row>
    <row r="37" spans="1:16"/>
    <row r="38" spans="1:16">
      <c r="B38" s="8" t="s">
        <v>48</v>
      </c>
    </row>
    <row r="39" spans="1:16"/>
    <row r="40" spans="1:16"/>
    <row r="41" spans="1:16">
      <c r="B41" s="15" t="s">
        <v>49</v>
      </c>
    </row>
    <row r="42" spans="1:16"/>
    <row r="43" spans="1:16">
      <c r="B43" s="6" t="s">
        <v>50</v>
      </c>
    </row>
    <row r="44" spans="1:16">
      <c r="B44" s="6" t="s">
        <v>51</v>
      </c>
    </row>
    <row r="45" spans="1:16">
      <c r="B45" s="9" t="s">
        <v>52</v>
      </c>
    </row>
    <row r="46" spans="1:16"/>
    <row r="47" spans="1:16"/>
    <row r="48" spans="1:16">
      <c r="B48" s="2">
        <f>== Forward Summary ===</f>
        <v/>
      </c>
    </row>
    <row r="49" spans="1:16">
      <c r="B49" s="6" t="s">
        <v>53</v>
      </c>
    </row>
  </sheetData>
  <mergeCells count="4">
    <mergeCell ref="B38:L38"/>
    <mergeCell ref="B2:T2"/>
    <mergeCell ref="B49:Z49"/>
    <mergeCell ref="B33:T33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67"/>
  <sheetViews>
    <sheetView workbookViewId="0">
      <selection activeCell="A1" sqref="A1"/>
    </sheetView>
  </sheetViews>
  <sheetFormatPr baseColWidth="8" defaultRowHeight="15" outlineLevelCol="0"/>
  <cols>
    <col customWidth="1" max="1" min="1" width="7"/>
    <col customWidth="1" max="2" min="2" width="7"/>
    <col customWidth="1" max="3" min="3" width="7"/>
    <col customWidth="1" max="4" min="4" width="7"/>
    <col customWidth="1" max="5" min="5" width="7"/>
    <col customWidth="1" max="6" min="6" width="7"/>
    <col customWidth="1" max="7" min="7" width="7"/>
    <col customWidth="1" max="8" min="8" width="7"/>
    <col customWidth="1" max="9" min="9" width="7"/>
    <col customWidth="1" max="10" min="10" width="7"/>
    <col customWidth="1" max="11" min="11" width="7"/>
    <col customWidth="1" max="12" min="12" width="7"/>
    <col customWidth="1" max="13" min="13" width="7"/>
    <col customWidth="1" max="14" min="14" width="7"/>
    <col customWidth="1" max="15" min="15" width="7"/>
    <col customWidth="1" max="16" min="16" width="7"/>
    <col customWidth="1" max="17" min="17" width="7"/>
    <col customWidth="1" max="18" min="18" width="7"/>
    <col customWidth="1" max="19" min="19" width="7"/>
  </cols>
  <sheetData>
    <row r="2" spans="1:14">
      <c r="B2" s="15" t="s">
        <v>54</v>
      </c>
    </row>
    <row r="4" spans="1:14">
      <c r="B4" s="10" t="s">
        <v>24</v>
      </c>
    </row>
    <row r="6" spans="1:14">
      <c r="B6" s="4" t="s">
        <v>55</v>
      </c>
    </row>
    <row r="8" spans="1:14">
      <c r="B8" s="10" t="s">
        <v>56</v>
      </c>
    </row>
    <row r="9" spans="1:14">
      <c r="B9" s="10" t="s">
        <v>57</v>
      </c>
    </row>
    <row r="10" spans="1:14">
      <c r="B10" s="11" t="s">
        <v>58</v>
      </c>
    </row>
    <row r="13" spans="1:14">
      <c r="B13" s="4" t="s">
        <v>59</v>
      </c>
    </row>
    <row r="15" spans="1:14">
      <c r="B15" s="10" t="s">
        <v>60</v>
      </c>
    </row>
    <row r="17" spans="1:14">
      <c r="B17" s="1" t="s">
        <v>21</v>
      </c>
      <c r="D17" s="4" t="s">
        <v>61</v>
      </c>
      <c r="I17" s="16" t="s">
        <v>62</v>
      </c>
      <c r="N17" s="17" t="s">
        <v>63</v>
      </c>
    </row>
    <row r="18" spans="1:14">
      <c r="B18" s="6" t="s">
        <v>64</v>
      </c>
      <c r="D18" s="8" t="n">
        <v>0.5</v>
      </c>
      <c r="I18" s="11" t="n">
        <v>0</v>
      </c>
      <c r="N18" s="12" t="n">
        <v>0.5</v>
      </c>
    </row>
    <row r="19" spans="1:14">
      <c r="B19" s="6" t="s">
        <v>65</v>
      </c>
      <c r="D19" s="8" t="n">
        <v>-0.3</v>
      </c>
      <c r="I19" s="11" t="n">
        <v>-0.2784</v>
      </c>
      <c r="N19" s="12" t="n">
        <v>-0.2722</v>
      </c>
    </row>
    <row r="20" spans="1:14">
      <c r="B20" s="6" t="s">
        <v>66</v>
      </c>
      <c r="D20" s="8" t="n">
        <v>0.4</v>
      </c>
      <c r="I20" s="11" t="n">
        <v>0</v>
      </c>
      <c r="N20" s="12" t="n">
        <v>0.4</v>
      </c>
    </row>
    <row r="21" spans="1:14">
      <c r="B21" s="6" t="s">
        <v>67</v>
      </c>
      <c r="D21" s="8" t="n">
        <v>-0.2</v>
      </c>
      <c r="I21" s="11" t="n">
        <v>0</v>
      </c>
      <c r="N21" s="12" t="n">
        <v>-0.2</v>
      </c>
    </row>
    <row r="23" spans="1:14">
      <c r="B23" s="1" t="s">
        <v>22</v>
      </c>
    </row>
    <row r="24" spans="1:14">
      <c r="B24" s="8" t="s">
        <v>61</v>
      </c>
      <c r="D24" s="8" t="n">
        <v>0.1</v>
      </c>
      <c r="F24" s="11" t="s">
        <v>62</v>
      </c>
      <c r="H24" s="11" t="n">
        <v>-0.5155</v>
      </c>
      <c r="J24" s="12" t="s">
        <v>63</v>
      </c>
      <c r="L24" s="12" t="n">
        <v>0.1515</v>
      </c>
    </row>
    <row r="27" spans="1:14">
      <c r="B27" s="3" t="s">
        <v>68</v>
      </c>
    </row>
    <row r="29" spans="1:14">
      <c r="B29" s="10" t="s">
        <v>69</v>
      </c>
    </row>
    <row r="30" spans="1:14">
      <c r="B30" s="7" t="s">
        <v>70</v>
      </c>
      <c r="D30" s="10" t="s">
        <v>71</v>
      </c>
      <c r="H30" s="7" t="s">
        <v>72</v>
      </c>
    </row>
    <row r="31" spans="1:14">
      <c r="B31" s="7" t="s">
        <v>73</v>
      </c>
      <c r="D31" s="10" t="s">
        <v>74</v>
      </c>
      <c r="H31" s="7" t="s">
        <v>75</v>
      </c>
    </row>
    <row r="32" spans="1:14">
      <c r="B32" s="7" t="s">
        <v>76</v>
      </c>
      <c r="D32" s="10" t="s">
        <v>77</v>
      </c>
      <c r="H32" s="7" t="s">
        <v>78</v>
      </c>
    </row>
    <row r="33" spans="1:14">
      <c r="B33" s="7" t="s">
        <v>79</v>
      </c>
      <c r="D33" s="10" t="s">
        <v>80</v>
      </c>
      <c r="H33" s="7" t="s">
        <v>81</v>
      </c>
    </row>
    <row r="35" spans="1:14">
      <c r="B35" s="10" t="s">
        <v>82</v>
      </c>
    </row>
    <row r="36" spans="1:14">
      <c r="B36" s="6" t="n"/>
      <c r="D36" s="1" t="s">
        <v>83</v>
      </c>
      <c r="F36" s="1" t="s">
        <v>84</v>
      </c>
      <c r="I36" s="1" t="s">
        <v>85</v>
      </c>
      <c r="L36" s="16" t="s">
        <v>86</v>
      </c>
    </row>
    <row r="37" spans="1:14">
      <c r="B37" s="6" t="s">
        <v>87</v>
      </c>
      <c r="D37" s="7" t="n">
        <v>-0.17</v>
      </c>
      <c r="F37" s="11" t="n">
        <v>0</v>
      </c>
      <c r="I37" s="7" t="n">
        <v>-0.2577</v>
      </c>
      <c r="L37" s="11" t="n">
        <v>0</v>
      </c>
    </row>
    <row r="38" spans="1:14">
      <c r="B38" s="6" t="s">
        <v>88</v>
      </c>
      <c r="D38" s="7" t="n">
        <v>0.54</v>
      </c>
      <c r="F38" s="12" t="n">
        <v>1</v>
      </c>
      <c r="I38" s="7" t="n">
        <v>0.1546</v>
      </c>
      <c r="L38" s="11" t="n">
        <v>0.1546</v>
      </c>
    </row>
    <row r="39" spans="1:14">
      <c r="B39" s="6" t="s">
        <v>89</v>
      </c>
      <c r="D39" s="7" t="n">
        <v>-0.05</v>
      </c>
      <c r="F39" s="11" t="n">
        <v>0</v>
      </c>
      <c r="I39" s="7" t="n">
        <v>-0.2062</v>
      </c>
      <c r="L39" s="11" t="n">
        <v>0</v>
      </c>
    </row>
    <row r="40" spans="1:14">
      <c r="B40" s="6" t="s">
        <v>90</v>
      </c>
      <c r="D40" s="7" t="n">
        <v>-0.02</v>
      </c>
      <c r="F40" s="11" t="n">
        <v>0</v>
      </c>
      <c r="I40" s="7" t="n">
        <v>0.1031</v>
      </c>
      <c r="L40" s="11" t="n">
        <v>0</v>
      </c>
    </row>
    <row r="43" spans="1:14">
      <c r="B43" s="3" t="s">
        <v>91</v>
      </c>
    </row>
    <row r="45" spans="1:14">
      <c r="B45" s="10" t="s">
        <v>92</v>
      </c>
    </row>
    <row r="47" spans="1:14">
      <c r="B47" s="1" t="s">
        <v>19</v>
      </c>
      <c r="D47" s="3" t="s">
        <v>61</v>
      </c>
      <c r="H47" s="16" t="s">
        <v>62</v>
      </c>
      <c r="L47" s="17" t="s">
        <v>63</v>
      </c>
    </row>
    <row r="48" spans="1:14">
      <c r="B48" s="6" t="s">
        <v>93</v>
      </c>
      <c r="D48" s="7" t="n">
        <v>0.3</v>
      </c>
      <c r="E48" s="7" t="n">
        <v>-0.4</v>
      </c>
      <c r="F48" s="7" t="n">
        <v>0.5</v>
      </c>
      <c r="H48" s="11" t="n">
        <v>0</v>
      </c>
      <c r="I48" s="11" t="n">
        <v>0</v>
      </c>
      <c r="J48" s="11" t="n">
        <v>0</v>
      </c>
      <c r="L48" s="12" t="n">
        <v>0.3</v>
      </c>
      <c r="M48" s="12" t="n">
        <v>-0.4</v>
      </c>
      <c r="N48" s="12" t="n">
        <v>0.5</v>
      </c>
    </row>
    <row r="49" spans="1:14">
      <c r="B49" s="6" t="s">
        <v>94</v>
      </c>
      <c r="D49" s="7" t="n">
        <v>0.2</v>
      </c>
      <c r="E49" s="7" t="n">
        <v>0.6</v>
      </c>
      <c r="F49" s="7" t="n">
        <v>-0.3</v>
      </c>
      <c r="H49" s="11" t="n">
        <v>0.07729999999999999</v>
      </c>
      <c r="I49" s="11" t="n">
        <v>0.1237</v>
      </c>
      <c r="J49" s="11" t="n">
        <v>-0.0309</v>
      </c>
      <c r="L49" s="12" t="n">
        <v>0.1923</v>
      </c>
      <c r="M49" s="12" t="n">
        <v>0.5876</v>
      </c>
      <c r="N49" s="12" t="n">
        <v>-0.2969</v>
      </c>
    </row>
    <row r="50" spans="1:14">
      <c r="B50" s="6" t="s">
        <v>95</v>
      </c>
      <c r="D50" s="7" t="n">
        <v>-0.5</v>
      </c>
      <c r="E50" s="7" t="n">
        <v>0.1</v>
      </c>
      <c r="F50" s="7" t="n">
        <v>0.4</v>
      </c>
      <c r="H50" s="11" t="n">
        <v>0</v>
      </c>
      <c r="I50" s="11" t="n">
        <v>0</v>
      </c>
      <c r="J50" s="11" t="n">
        <v>0</v>
      </c>
      <c r="L50" s="12" t="n">
        <v>-0.5</v>
      </c>
      <c r="M50" s="12" t="n">
        <v>0.1</v>
      </c>
      <c r="N50" s="12" t="n">
        <v>0.4</v>
      </c>
    </row>
    <row r="51" spans="1:14">
      <c r="B51" s="6" t="s">
        <v>96</v>
      </c>
      <c r="D51" s="7" t="n">
        <v>0.4</v>
      </c>
      <c r="E51" s="7" t="n">
        <v>-0.2</v>
      </c>
      <c r="F51" s="7" t="n">
        <v>0.3</v>
      </c>
      <c r="H51" s="11" t="n">
        <v>0</v>
      </c>
      <c r="I51" s="11" t="n">
        <v>0</v>
      </c>
      <c r="J51" s="11" t="n">
        <v>0</v>
      </c>
      <c r="L51" s="12" t="n">
        <v>0.4</v>
      </c>
      <c r="M51" s="12" t="n">
        <v>-0.2</v>
      </c>
      <c r="N51" s="12" t="n">
        <v>0.3</v>
      </c>
    </row>
    <row r="53" spans="1:14">
      <c r="B53" s="1" t="s">
        <v>20</v>
      </c>
      <c r="D53" s="3" t="s">
        <v>61</v>
      </c>
      <c r="H53" s="16" t="s">
        <v>62</v>
      </c>
      <c r="L53" s="17" t="s">
        <v>63</v>
      </c>
    </row>
    <row r="54" spans="1:14">
      <c r="B54" s="6" t="s">
        <v>97</v>
      </c>
      <c r="D54" s="7" t="n">
        <v>0.1</v>
      </c>
      <c r="H54" s="11" t="n">
        <v>0</v>
      </c>
      <c r="L54" s="12" t="n">
        <v>0.1</v>
      </c>
    </row>
    <row r="55" spans="1:14">
      <c r="B55" s="6" t="s">
        <v>98</v>
      </c>
      <c r="D55" s="7" t="n">
        <v>-0.1</v>
      </c>
      <c r="H55" s="11" t="n">
        <v>0.1546</v>
      </c>
      <c r="L55" s="12" t="n">
        <v>-0.1155</v>
      </c>
    </row>
    <row r="56" spans="1:14">
      <c r="B56" s="6" t="s">
        <v>99</v>
      </c>
      <c r="D56" s="7" t="n">
        <v>0.2</v>
      </c>
      <c r="H56" s="11" t="n">
        <v>0</v>
      </c>
      <c r="L56" s="12" t="n">
        <v>0.2</v>
      </c>
    </row>
    <row r="57" spans="1:14">
      <c r="B57" s="6" t="s">
        <v>100</v>
      </c>
      <c r="D57" s="7" t="n">
        <v>0</v>
      </c>
      <c r="H57" s="11" t="n">
        <v>0</v>
      </c>
      <c r="L57" s="12" t="n">
        <v>0</v>
      </c>
    </row>
    <row r="60" spans="1:14">
      <c r="B60" s="1" t="s">
        <v>101</v>
      </c>
    </row>
    <row r="62" spans="1:14">
      <c r="B62" s="10" t="s">
        <v>102</v>
      </c>
    </row>
    <row r="63" spans="1:14">
      <c r="B63" s="10" t="s">
        <v>103</v>
      </c>
    </row>
    <row r="64" spans="1:14">
      <c r="B64" s="10" t="s">
        <v>104</v>
      </c>
    </row>
    <row r="65" spans="1:14">
      <c r="B65" s="10" t="s">
        <v>105</v>
      </c>
    </row>
    <row r="66" spans="1:14">
      <c r="B66" s="10" t="s">
        <v>106</v>
      </c>
    </row>
    <row r="67" spans="1:14">
      <c r="B67" s="10" t="s">
        <v>107</v>
      </c>
    </row>
  </sheetData>
  <mergeCells count="9">
    <mergeCell ref="B60:T60"/>
    <mergeCell ref="B27:T27"/>
    <mergeCell ref="B13:T13"/>
    <mergeCell ref="H47:J47"/>
    <mergeCell ref="B2:AE2"/>
    <mergeCell ref="L47:N47"/>
    <mergeCell ref="B43:T43"/>
    <mergeCell ref="B6:T6"/>
    <mergeCell ref="D47:F47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27"/>
  <sheetViews>
    <sheetView workbookViewId="0">
      <selection activeCell="A1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</cols>
  <sheetData>
    <row r="2" spans="1:2">
      <c r="B2" s="1">
        <f>== Answer Key ===</f>
        <v/>
      </c>
    </row>
    <row r="4" spans="1:2">
      <c r="B4" s="2" t="s">
        <v>108</v>
      </c>
    </row>
    <row r="5" spans="1:2">
      <c r="B5" s="6" t="s">
        <v>109</v>
      </c>
    </row>
    <row r="6" spans="1:2">
      <c r="B6" s="6" t="s">
        <v>110</v>
      </c>
    </row>
    <row r="7" spans="1:2">
      <c r="B7" s="6" t="s">
        <v>111</v>
      </c>
    </row>
    <row r="8" spans="1:2">
      <c r="B8" s="6" t="s">
        <v>112</v>
      </c>
    </row>
    <row r="9" spans="1:2">
      <c r="B9" s="6" t="s">
        <v>113</v>
      </c>
    </row>
    <row r="11" spans="1:2">
      <c r="B11" s="15" t="s">
        <v>114</v>
      </c>
    </row>
    <row r="12" spans="1:2">
      <c r="B12" s="6" t="s">
        <v>115</v>
      </c>
    </row>
    <row r="13" spans="1:2">
      <c r="B13" s="6" t="s">
        <v>116</v>
      </c>
    </row>
    <row r="14" spans="1:2">
      <c r="B14" s="6" t="s">
        <v>117</v>
      </c>
    </row>
    <row r="15" spans="1:2">
      <c r="B15" s="6" t="s">
        <v>118</v>
      </c>
    </row>
    <row r="16" spans="1:2">
      <c r="B16" s="6" t="s">
        <v>119</v>
      </c>
    </row>
    <row r="17" spans="1:2">
      <c r="B17" s="6" t="s">
        <v>120</v>
      </c>
    </row>
    <row r="19" spans="1:2">
      <c r="B19" s="3" t="s">
        <v>121</v>
      </c>
    </row>
    <row r="20" spans="1:2">
      <c r="B20" s="6" t="s">
        <v>122</v>
      </c>
    </row>
    <row r="21" spans="1:2">
      <c r="B21" s="6" t="s">
        <v>123</v>
      </c>
    </row>
    <row r="22" spans="1:2">
      <c r="B22" s="6" t="s">
        <v>124</v>
      </c>
    </row>
    <row r="23" spans="1:2">
      <c r="B23" s="6" t="s">
        <v>125</v>
      </c>
    </row>
    <row r="24" spans="1:2">
      <c r="B24" s="6" t="s">
        <v>126</v>
      </c>
    </row>
    <row r="25" spans="1:2">
      <c r="B25" s="6" t="s">
        <v>127</v>
      </c>
    </row>
    <row r="26" spans="1:2">
      <c r="B26" s="6" t="s">
        <v>128</v>
      </c>
    </row>
    <row r="27" spans="1:2">
      <c r="B27" s="6" t="s">
        <v>129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2026-01-20T07:02:02Z</dcterms:created>
  <dcterms:modified xmlns:dcterms="http://purl.org/dc/terms/" xmlns:xsi="http://www.w3.org/2001/XMLSchema-instance" xsi:type="dcterms:W3CDTF">2026-01-20T07:02:03Z</dcterms:modified>
</cp:coreProperties>
</file>