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orward_Propagation" sheetId="2" state="visible" r:id="rId2"/>
    <sheet xmlns:r="http://schemas.openxmlformats.org/officeDocument/2006/relationships" name="Backward_Propagation" sheetId="3" state="visible" r:id="rId3"/>
    <sheet xmlns:r="http://schemas.openxmlformats.org/officeDocument/2006/relationships" name="Answer_K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1"/>
    </font>
    <font>
      <name val="맑은 고딕"/>
      <b val="1"/>
      <sz val="13"/>
    </font>
    <font>
      <name val="Cambria Math"/>
      <sz val="11"/>
    </font>
    <font>
      <b val="1"/>
    </font>
    <font>
      <name val="Consolas"/>
      <sz val="10"/>
    </font>
    <font>
      <i val="1"/>
      <sz val="9"/>
    </font>
    <font>
      <b val="1"/>
      <sz val="12"/>
    </font>
    <font>
      <name val="맑은 고딕"/>
      <b val="1"/>
      <color rgb="00FFFFFF"/>
      <sz val="11"/>
    </font>
    <font>
      <i val="1"/>
    </font>
    <font>
      <b val="1"/>
      <color rgb="00FF0000"/>
    </font>
    <font>
      <i val="1"/>
      <color rgb="000000FF"/>
    </font>
  </fonts>
  <fills count="13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4DFEC"/>
        <bgColor rgb="00E4DFEC"/>
      </patternFill>
    </fill>
    <fill>
      <patternFill patternType="solid">
        <fgColor rgb="00E2EFDA"/>
        <bgColor rgb="00E2EFDA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5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11" borderId="0" pivotButton="0" quotePrefix="0" xfId="0"/>
    <xf numFmtId="0" fontId="9" fillId="12" borderId="0" pivotButton="0" quotePrefix="0" xfId="0"/>
    <xf numFmtId="0" fontId="0" fillId="11" borderId="0" pivotButton="0" quotePrefix="0" xfId="0"/>
    <xf numFmtId="0" fontId="0" fillId="4" borderId="0" pivotButton="0" quotePrefix="0" xfId="0"/>
    <xf numFmtId="0" fontId="0" fillId="8" borderId="2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11" fillId="0" borderId="0" pivotButton="0" quotePrefix="0" xfId="0"/>
    <xf numFmtId="0" fontId="0" fillId="3" borderId="0" pivotButton="0" quotePrefix="0" xfId="0"/>
    <xf numFmtId="0" fontId="12" fillId="0" borderId="0" pivotButton="0" quotePrefix="0" xfId="0"/>
    <xf numFmtId="0" fontId="5" fillId="9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90" customWidth="1" min="1" max="1"/>
    <col width="5" customWidth="1" min="2" max="2"/>
  </cols>
  <sheetData>
    <row r="1">
      <c r="A1" s="1" t="inlineStr">
        <is>
          <t>Logistic Regression Binary Classification Practice Worksheet</t>
        </is>
      </c>
    </row>
    <row r="2"/>
    <row r="3">
      <c r="A3" s="2">
        <f>=====================================================================</f>
        <v/>
      </c>
    </row>
    <row r="4"/>
    <row r="5">
      <c r="A5" s="3" t="inlineStr">
        <is>
          <t>[Learning Objectives]</t>
        </is>
      </c>
    </row>
    <row r="6">
      <c r="A6" s="2" t="inlineStr">
        <is>
          <t>1. Understand binary classification problem using Logistic Regression</t>
        </is>
      </c>
    </row>
    <row r="7">
      <c r="A7" s="2" t="inlineStr">
        <is>
          <t>2. Role and calculation of Sigmoid activation function</t>
        </is>
      </c>
    </row>
    <row r="8">
      <c r="A8" s="2" t="inlineStr">
        <is>
          <t>3. Understand Binary Cross-Entropy (BCE) loss function</t>
        </is>
      </c>
    </row>
    <row r="9">
      <c r="A9" s="2" t="inlineStr">
        <is>
          <t>4. Derive simplified gradient of BCE + Sigmoid</t>
        </is>
      </c>
    </row>
    <row r="10">
      <c r="A10" s="2" t="inlineStr">
        <is>
          <t>5. Update weights through backpropagation</t>
        </is>
      </c>
    </row>
    <row r="11"/>
    <row r="12">
      <c r="A12" s="3" t="inlineStr">
        <is>
          <t>[Network Structure]</t>
        </is>
      </c>
    </row>
    <row r="13">
      <c r="A13" s="2" t="inlineStr">
        <is>
          <t>• Input matrix X: 10 samples × 8 features (10×8 matrix)</t>
        </is>
      </c>
    </row>
    <row r="14">
      <c r="A14" s="2" t="inlineStr">
        <is>
          <t>• Weight matrix W: 8 features × 1 output (8×1 vector)</t>
        </is>
      </c>
    </row>
    <row r="15">
      <c r="A15" s="2" t="inlineStr">
        <is>
          <t>• Bias b: Scalar</t>
        </is>
      </c>
    </row>
    <row r="16">
      <c r="A16" s="2" t="inlineStr">
        <is>
          <t>• Linear combination Z: Z = X · W + b</t>
        </is>
      </c>
    </row>
    <row r="17">
      <c r="A17" s="2" t="inlineStr">
        <is>
          <t>• Activation function: Sigmoid → Y_pred = σ(Z) = 1/(1+e^(-Z))</t>
        </is>
      </c>
    </row>
    <row r="18">
      <c r="A18" s="2" t="inlineStr">
        <is>
          <t>• Output Y_pred: 10 × 1 (probability values between 0~1)</t>
        </is>
      </c>
    </row>
    <row r="19">
      <c r="A19" s="2" t="inlineStr">
        <is>
          <t>• Ground truth Y_true: 10 × 1 (0 or 1 - binary label)</t>
        </is>
      </c>
    </row>
    <row r="20">
      <c r="A20" s="2" t="inlineStr">
        <is>
          <t>• Loss function: Binary Cross-Entropy (BCE)</t>
        </is>
      </c>
    </row>
    <row r="21"/>
    <row r="22">
      <c r="A22" s="3" t="inlineStr">
        <is>
          <t>[Mathematical Expression]</t>
        </is>
      </c>
    </row>
    <row r="23">
      <c r="A23" s="4" t="inlineStr">
        <is>
          <t>Forward:</t>
        </is>
      </c>
    </row>
    <row r="24">
      <c r="A24" s="4" t="inlineStr">
        <is>
          <t xml:space="preserve">   Z = X · W + b                                    (Linear combination)</t>
        </is>
      </c>
    </row>
    <row r="25">
      <c r="A25" s="4" t="inlineStr">
        <is>
          <t xml:space="preserve">   Y_pred = σ(Z) = 1 / (1 + e^(-Z))                 (Sigmoid activation)</t>
        </is>
      </c>
    </row>
    <row r="26">
      <c r="A26" s="4" t="inlineStr"/>
    </row>
    <row r="27">
      <c r="A27" s="4" t="inlineStr">
        <is>
          <t>Loss (BCE):</t>
        </is>
      </c>
    </row>
    <row r="28">
      <c r="A28" s="4" t="inlineStr">
        <is>
          <t xml:space="preserve">   L = -(1/n) × Σ[y_true × log(y_pred) + (1-y_true) × log(1-y_pred)]</t>
        </is>
      </c>
    </row>
    <row r="29">
      <c r="A29" s="4" t="inlineStr"/>
    </row>
    <row r="30">
      <c r="A30" s="4" t="inlineStr">
        <is>
          <t>Gradient (BCE + Sigmoid simplified):</t>
        </is>
      </c>
    </row>
    <row r="31">
      <c r="A31" s="4" t="inlineStr">
        <is>
          <t xml:space="preserve">   ∂L/∂Z = (1/n) × (Y_pred - Y_true)                ★ Key formula!</t>
        </is>
      </c>
    </row>
    <row r="32">
      <c r="A32" s="4" t="inlineStr">
        <is>
          <t xml:space="preserve">   ∂L/∂W = X^T · ∂L/∂Z</t>
        </is>
      </c>
    </row>
    <row r="33">
      <c r="A33" s="4" t="inlineStr">
        <is>
          <t xml:space="preserve">   ∂L/∂b = Σ(∂L/∂Z)</t>
        </is>
      </c>
    </row>
    <row r="34">
      <c r="A34" s="4" t="inlineStr"/>
    </row>
    <row r="35">
      <c r="A35" s="4" t="inlineStr">
        <is>
          <t>Update:</t>
        </is>
      </c>
    </row>
    <row r="36">
      <c r="A36" s="4" t="inlineStr">
        <is>
          <t xml:space="preserve">   W_new = W - lr × ∂L/∂W</t>
        </is>
      </c>
    </row>
    <row r="37">
      <c r="A37" s="4" t="inlineStr">
        <is>
          <t xml:space="preserve">   b_new = b - lr × ∂L/∂b</t>
        </is>
      </c>
    </row>
    <row r="38"/>
    <row r="39">
      <c r="A39" s="3" t="inlineStr">
        <is>
          <t>[Sigmoid Function]</t>
        </is>
      </c>
    </row>
    <row r="40">
      <c r="A40" s="2" t="inlineStr">
        <is>
          <t>• Output range: 0 &lt; σ(z) &lt; 1 (interpretable as probability)</t>
        </is>
      </c>
    </row>
    <row r="41">
      <c r="A41" s="2" t="inlineStr">
        <is>
          <t>• When z = 0: σ(0) = 0.5</t>
        </is>
      </c>
    </row>
    <row r="42">
      <c r="A42" s="2" t="inlineStr">
        <is>
          <t>• When z &gt; 0: σ(z) &gt; 0.5 (classified as positive class)</t>
        </is>
      </c>
    </row>
    <row r="43">
      <c r="A43" s="2" t="inlineStr">
        <is>
          <t>• When z &lt; 0: σ(z) &lt; 0.5 (classified as negative class)</t>
        </is>
      </c>
    </row>
    <row r="44">
      <c r="A44" s="2" t="inlineStr">
        <is>
          <t>• Derivative: σ'(z) = σ(z) × (1 - σ(z))</t>
        </is>
      </c>
    </row>
    <row r="45"/>
    <row r="46">
      <c r="A46" s="3" t="inlineStr">
        <is>
          <t>[Color Legend]</t>
        </is>
      </c>
    </row>
    <row r="47">
      <c r="A47" s="2" t="inlineStr">
        <is>
          <t xml:space="preserve">  ■ Input matrix (X)</t>
        </is>
      </c>
      <c r="B47" s="5" t="n"/>
    </row>
    <row r="48">
      <c r="A48" s="2" t="inlineStr">
        <is>
          <t xml:space="preserve">  ■ Weight (W)</t>
        </is>
      </c>
      <c r="B48" s="6" t="n"/>
    </row>
    <row r="49">
      <c r="A49" s="2" t="inlineStr">
        <is>
          <t xml:space="preserve">  ■ Linear combination (Z)</t>
        </is>
      </c>
      <c r="B49" s="7" t="n"/>
    </row>
    <row r="50">
      <c r="A50" s="2" t="inlineStr">
        <is>
          <t xml:space="preserve">  ■ Sigmoid output (Y_pred)</t>
        </is>
      </c>
      <c r="B50" s="8" t="n"/>
    </row>
    <row r="51">
      <c r="A51" s="2" t="inlineStr">
        <is>
          <t xml:space="preserve">  ■ Output/Result</t>
        </is>
      </c>
      <c r="B51" s="9" t="n"/>
    </row>
    <row r="52">
      <c r="A52" s="2" t="inlineStr">
        <is>
          <t xml:space="preserve">  ■ Gradient</t>
        </is>
      </c>
      <c r="B52" s="10" t="n"/>
    </row>
    <row r="53">
      <c r="A53" s="2" t="inlineStr">
        <is>
          <t xml:space="preserve">  ■ Student input cell</t>
        </is>
      </c>
      <c r="B53" s="11" t="n"/>
    </row>
    <row r="54">
      <c r="A54" s="2" t="inlineStr">
        <is>
          <t xml:space="preserve">  ■ Answer</t>
        </is>
      </c>
      <c r="B54" s="12" t="n"/>
    </row>
    <row r="55">
      <c r="A55" s="2" t="inlineStr">
        <is>
          <t xml:space="preserve">  ■ Wrong</t>
        </is>
      </c>
      <c r="B55" s="13" t="n"/>
    </row>
    <row r="56"/>
    <row r="57">
      <c r="A57" s="3" t="inlineStr">
        <is>
          <t>[How to Use]</t>
        </is>
      </c>
    </row>
    <row r="58">
      <c r="A58" s="2" t="inlineStr">
        <is>
          <t>1. Enter calculation results in yellow cells in Forward_Propagation sheet</t>
        </is>
      </c>
    </row>
    <row r="59">
      <c r="A59" s="2" t="inlineStr">
        <is>
          <t>2. Check ✓(correct) or ✗(wrong) in verification cells</t>
        </is>
      </c>
    </row>
    <row r="60">
      <c r="A60" s="2" t="inlineStr">
        <is>
          <t>3. Tolerance: 0.0001 (up to 4 decimal places)</t>
        </is>
      </c>
    </row>
    <row r="61">
      <c r="A61" s="2" t="inlineStr">
        <is>
          <t>4. Hint: When calculating Sigmoid, first compute e^(-z), then 1/(1+e^(-z))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Forward Propagation - Logistic Regression</t>
        </is>
      </c>
    </row>
    <row r="2"/>
    <row r="3">
      <c r="A3" s="14" t="inlineStr">
        <is>
          <t>Progress:</t>
        </is>
      </c>
      <c r="B3">
        <f>COUNTIF(F:F,"✓")/30*100&amp;"%"</f>
        <v/>
      </c>
    </row>
    <row r="4"/>
    <row r="5">
      <c r="A5" s="3">
        <f>== Input Matrix X (10×8) ===</f>
        <v/>
      </c>
      <c r="L5" s="3">
        <f>== Weight W (8×1) ===</f>
        <v/>
      </c>
      <c r="O5" s="3">
        <f>== Ground Truth Y_true ===</f>
        <v/>
      </c>
    </row>
    <row r="6">
      <c r="A6" s="14" t="inlineStr">
        <is>
          <t>Sample</t>
        </is>
      </c>
      <c r="B6" s="15" t="inlineStr">
        <is>
          <t>x1</t>
        </is>
      </c>
      <c r="C6" s="15" t="inlineStr">
        <is>
          <t>x2</t>
        </is>
      </c>
      <c r="D6" s="15" t="inlineStr">
        <is>
          <t>x3</t>
        </is>
      </c>
      <c r="E6" s="15" t="inlineStr">
        <is>
          <t>x4</t>
        </is>
      </c>
      <c r="F6" s="15" t="inlineStr">
        <is>
          <t>x5</t>
        </is>
      </c>
      <c r="G6" s="15" t="inlineStr">
        <is>
          <t>x6</t>
        </is>
      </c>
      <c r="H6" s="15" t="inlineStr">
        <is>
          <t>x7</t>
        </is>
      </c>
      <c r="I6" s="15" t="inlineStr">
        <is>
          <t>x8</t>
        </is>
      </c>
      <c r="O6" s="16" t="inlineStr">
        <is>
          <t>(0 or 1)</t>
        </is>
      </c>
    </row>
    <row r="7">
      <c r="A7" s="14" t="inlineStr">
        <is>
          <t>s1</t>
        </is>
      </c>
      <c r="B7" s="17" t="n">
        <v>1</v>
      </c>
      <c r="C7" s="17" t="n">
        <v>2</v>
      </c>
      <c r="D7" s="17" t="n">
        <v>0</v>
      </c>
      <c r="E7" s="17" t="n">
        <v>-1</v>
      </c>
      <c r="F7" s="17" t="n">
        <v>1</v>
      </c>
      <c r="G7" s="17" t="n">
        <v>0</v>
      </c>
      <c r="H7" s="17" t="n">
        <v>0.5</v>
      </c>
      <c r="I7" s="17" t="n">
        <v>-0.5</v>
      </c>
      <c r="L7" s="14" t="inlineStr">
        <is>
          <t>w1</t>
        </is>
      </c>
      <c r="M7" s="18" t="n">
        <v>0.3</v>
      </c>
      <c r="O7" s="14" t="inlineStr">
        <is>
          <t>y1</t>
        </is>
      </c>
      <c r="P7" s="19" t="n">
        <v>1</v>
      </c>
    </row>
    <row r="8">
      <c r="A8" s="14" t="inlineStr">
        <is>
          <t>s2</t>
        </is>
      </c>
      <c r="B8" s="17" t="n">
        <v>0.5</v>
      </c>
      <c r="C8" s="17" t="n">
        <v>1</v>
      </c>
      <c r="D8" s="17" t="n">
        <v>1</v>
      </c>
      <c r="E8" s="17" t="n">
        <v>0</v>
      </c>
      <c r="F8" s="17" t="n">
        <v>0.5</v>
      </c>
      <c r="G8" s="17" t="n">
        <v>-1</v>
      </c>
      <c r="H8" s="17" t="n">
        <v>0</v>
      </c>
      <c r="I8" s="17" t="n">
        <v>1</v>
      </c>
      <c r="L8" s="14" t="inlineStr">
        <is>
          <t>w2</t>
        </is>
      </c>
      <c r="M8" s="18" t="n">
        <v>0.4</v>
      </c>
      <c r="O8" s="14" t="inlineStr">
        <is>
          <t>y2</t>
        </is>
      </c>
      <c r="P8" s="19" t="n">
        <v>0</v>
      </c>
    </row>
    <row r="9">
      <c r="A9" s="14" t="inlineStr">
        <is>
          <t>s3</t>
        </is>
      </c>
      <c r="B9" s="17" t="n">
        <v>2</v>
      </c>
      <c r="C9" s="17" t="n">
        <v>0</v>
      </c>
      <c r="D9" s="17" t="n">
        <v>-1</v>
      </c>
      <c r="E9" s="17" t="n">
        <v>1</v>
      </c>
      <c r="F9" s="17" t="n">
        <v>0</v>
      </c>
      <c r="G9" s="17" t="n">
        <v>0.5</v>
      </c>
      <c r="H9" s="17" t="n">
        <v>1</v>
      </c>
      <c r="I9" s="17" t="n">
        <v>0</v>
      </c>
      <c r="L9" s="14" t="inlineStr">
        <is>
          <t>w3</t>
        </is>
      </c>
      <c r="M9" s="18" t="n">
        <v>-0.2</v>
      </c>
      <c r="O9" s="14" t="inlineStr">
        <is>
          <t>y3</t>
        </is>
      </c>
      <c r="P9" s="19" t="n">
        <v>1</v>
      </c>
    </row>
    <row r="10">
      <c r="A10" s="14" t="inlineStr">
        <is>
          <t>s4</t>
        </is>
      </c>
      <c r="B10" s="17" t="n">
        <v>0</v>
      </c>
      <c r="C10" s="17" t="n">
        <v>1.5</v>
      </c>
      <c r="D10" s="17" t="n">
        <v>0.5</v>
      </c>
      <c r="E10" s="17" t="n">
        <v>0.5</v>
      </c>
      <c r="F10" s="17" t="n">
        <v>-0.5</v>
      </c>
      <c r="G10" s="17" t="n">
        <v>1</v>
      </c>
      <c r="H10" s="17" t="n">
        <v>-1</v>
      </c>
      <c r="I10" s="17" t="n">
        <v>0.5</v>
      </c>
      <c r="L10" s="14" t="inlineStr">
        <is>
          <t>w4</t>
        </is>
      </c>
      <c r="M10" s="18" t="n">
        <v>0.5</v>
      </c>
      <c r="O10" s="14" t="inlineStr">
        <is>
          <t>y4</t>
        </is>
      </c>
      <c r="P10" s="19" t="n">
        <v>1</v>
      </c>
    </row>
    <row r="11">
      <c r="A11" s="14" t="inlineStr">
        <is>
          <t>s5</t>
        </is>
      </c>
      <c r="B11" s="17" t="n">
        <v>1</v>
      </c>
      <c r="C11" s="17" t="n">
        <v>-1</v>
      </c>
      <c r="D11" s="17" t="n">
        <v>2</v>
      </c>
      <c r="E11" s="17" t="n">
        <v>0</v>
      </c>
      <c r="F11" s="17" t="n">
        <v>1</v>
      </c>
      <c r="G11" s="17" t="n">
        <v>0</v>
      </c>
      <c r="H11" s="17" t="n">
        <v>0.5</v>
      </c>
      <c r="I11" s="17" t="n">
        <v>0</v>
      </c>
      <c r="L11" s="14" t="inlineStr">
        <is>
          <t>w5</t>
        </is>
      </c>
      <c r="M11" s="18" t="n">
        <v>-0.3</v>
      </c>
      <c r="O11" s="14" t="inlineStr">
        <is>
          <t>y5</t>
        </is>
      </c>
      <c r="P11" s="19" t="n">
        <v>0</v>
      </c>
    </row>
    <row r="12">
      <c r="A12" s="14" t="inlineStr">
        <is>
          <t>s6</t>
        </is>
      </c>
      <c r="B12" s="17" t="n">
        <v>-0.5</v>
      </c>
      <c r="C12" s="17" t="n">
        <v>1</v>
      </c>
      <c r="D12" s="17" t="n">
        <v>0</v>
      </c>
      <c r="E12" s="17" t="n">
        <v>1.5</v>
      </c>
      <c r="F12" s="17" t="n">
        <v>0</v>
      </c>
      <c r="G12" s="17" t="n">
        <v>0.5</v>
      </c>
      <c r="H12" s="17" t="n">
        <v>0</v>
      </c>
      <c r="I12" s="17" t="n">
        <v>1</v>
      </c>
      <c r="L12" s="14" t="inlineStr">
        <is>
          <t>w6</t>
        </is>
      </c>
      <c r="M12" s="18" t="n">
        <v>0.2</v>
      </c>
      <c r="O12" s="14" t="inlineStr">
        <is>
          <t>y6</t>
        </is>
      </c>
      <c r="P12" s="19" t="n">
        <v>1</v>
      </c>
    </row>
    <row r="13">
      <c r="A13" s="14" t="inlineStr">
        <is>
          <t>s7</t>
        </is>
      </c>
      <c r="B13" s="17" t="n">
        <v>1.5</v>
      </c>
      <c r="C13" s="17" t="n">
        <v>0.5</v>
      </c>
      <c r="D13" s="17" t="n">
        <v>1</v>
      </c>
      <c r="E13" s="17" t="n">
        <v>-0.5</v>
      </c>
      <c r="F13" s="17" t="n">
        <v>0.5</v>
      </c>
      <c r="G13" s="17" t="n">
        <v>0</v>
      </c>
      <c r="H13" s="17" t="n">
        <v>1</v>
      </c>
      <c r="I13" s="17" t="n">
        <v>-1</v>
      </c>
      <c r="L13" s="14" t="inlineStr">
        <is>
          <t>w7</t>
        </is>
      </c>
      <c r="M13" s="18" t="n">
        <v>0.35</v>
      </c>
      <c r="O13" s="14" t="inlineStr">
        <is>
          <t>y7</t>
        </is>
      </c>
      <c r="P13" s="19" t="n">
        <v>1</v>
      </c>
    </row>
    <row r="14">
      <c r="A14" s="14" t="inlineStr">
        <is>
          <t>s8</t>
        </is>
      </c>
      <c r="B14" s="17" t="n">
        <v>0</v>
      </c>
      <c r="C14" s="17" t="n">
        <v>2</v>
      </c>
      <c r="D14" s="17" t="n">
        <v>-0.5</v>
      </c>
      <c r="E14" s="17" t="n">
        <v>0</v>
      </c>
      <c r="F14" s="17" t="n">
        <v>1</v>
      </c>
      <c r="G14" s="17" t="n">
        <v>-0.5</v>
      </c>
      <c r="H14" s="17" t="n">
        <v>0.5</v>
      </c>
      <c r="I14" s="17" t="n">
        <v>0.5</v>
      </c>
      <c r="L14" s="14" t="inlineStr">
        <is>
          <t>w8</t>
        </is>
      </c>
      <c r="M14" s="18" t="n">
        <v>-0.25</v>
      </c>
      <c r="O14" s="14" t="inlineStr">
        <is>
          <t>y8</t>
        </is>
      </c>
      <c r="P14" s="19" t="n">
        <v>0</v>
      </c>
    </row>
    <row r="15">
      <c r="A15" s="14" t="inlineStr">
        <is>
          <t>s9</t>
        </is>
      </c>
      <c r="B15" s="17" t="n">
        <v>1</v>
      </c>
      <c r="C15" s="17" t="n">
        <v>0</v>
      </c>
      <c r="D15" s="17" t="n">
        <v>1</v>
      </c>
      <c r="E15" s="17" t="n">
        <v>1</v>
      </c>
      <c r="F15" s="17" t="n">
        <v>-1</v>
      </c>
      <c r="G15" s="17" t="n">
        <v>1</v>
      </c>
      <c r="H15" s="17" t="n">
        <v>0</v>
      </c>
      <c r="I15" s="17" t="n">
        <v>0</v>
      </c>
      <c r="O15" s="14" t="inlineStr">
        <is>
          <t>y9</t>
        </is>
      </c>
      <c r="P15" s="19" t="n">
        <v>1</v>
      </c>
    </row>
    <row r="16">
      <c r="A16" s="14" t="inlineStr">
        <is>
          <t>s10</t>
        </is>
      </c>
      <c r="B16" s="17" t="n">
        <v>0.5</v>
      </c>
      <c r="C16" s="17" t="n">
        <v>0.5</v>
      </c>
      <c r="D16" s="17" t="n">
        <v>0.5</v>
      </c>
      <c r="E16" s="17" t="n">
        <v>0.5</v>
      </c>
      <c r="F16" s="17" t="n">
        <v>0.5</v>
      </c>
      <c r="G16" s="17" t="n">
        <v>0.5</v>
      </c>
      <c r="H16" s="17" t="n">
        <v>0.5</v>
      </c>
      <c r="I16" s="17" t="n">
        <v>0.5</v>
      </c>
      <c r="L16" s="14" t="inlineStr">
        <is>
          <t>b</t>
        </is>
      </c>
      <c r="M16" s="20" t="n">
        <v>-0.5</v>
      </c>
      <c r="O16" s="14" t="inlineStr">
        <is>
          <t>y10</t>
        </is>
      </c>
      <c r="P16" s="19" t="n">
        <v>0</v>
      </c>
    </row>
    <row r="17"/>
    <row r="18"/>
    <row r="19"/>
    <row r="20">
      <c r="A20" s="3">
        <f>== Step 1: Linear Combination Z = X · W + b ===</f>
        <v/>
      </c>
    </row>
    <row r="21">
      <c r="A21" s="21" t="inlineStr">
        <is>
          <t>Formula: z_i = Σ(x_ij × w_j) + b</t>
        </is>
      </c>
    </row>
    <row r="22"/>
    <row r="23">
      <c r="A23" s="22" t="inlineStr">
        <is>
          <t>Sample</t>
        </is>
      </c>
      <c r="B23" s="22" t="inlineStr">
        <is>
          <t>Calculation formula</t>
        </is>
      </c>
      <c r="C23" s="22" t="inlineStr">
        <is>
          <t>z_i</t>
        </is>
      </c>
      <c r="D23" s="22" t="inlineStr">
        <is>
          <t>Student input</t>
        </is>
      </c>
      <c r="E23" s="22" t="inlineStr">
        <is>
          <t>Verification</t>
        </is>
      </c>
    </row>
    <row r="24">
      <c r="A24" s="14" t="inlineStr">
        <is>
          <t>s1</t>
        </is>
      </c>
      <c r="B24" s="23" t="inlineStr">
        <is>
          <t>1.0×0.30 + 2.0×0.40 + 0.0×-0.20 + ... + (-0.5)</t>
        </is>
      </c>
      <c r="C24" s="24" t="n">
        <v>0.1</v>
      </c>
      <c r="D24" s="25" t="n"/>
      <c r="E24">
        <f>IF(ABS(D24-Answer_Key!B3)&lt;0.0001,"✓","✗")</f>
        <v/>
      </c>
    </row>
    <row r="25">
      <c r="A25" s="14" t="inlineStr">
        <is>
          <t>s2</t>
        </is>
      </c>
      <c r="B25" s="23" t="inlineStr">
        <is>
          <t>0.5×0.30 + 1.0×0.40 + 1.0×-0.20 + ... + (-0.5)</t>
        </is>
      </c>
      <c r="C25" s="24" t="n">
        <v>-0.75</v>
      </c>
      <c r="D25" s="25" t="n"/>
      <c r="E25">
        <f>IF(ABS(D25-Answer_Key!B4)&lt;0.0001,"✓","✗")</f>
        <v/>
      </c>
    </row>
    <row r="26">
      <c r="A26" s="14" t="inlineStr">
        <is>
          <t>s3</t>
        </is>
      </c>
      <c r="B26" s="23" t="inlineStr">
        <is>
          <t>2.0×0.30 + 0.0×0.40 + -1.0×-0.20 + ... + (-0.5)</t>
        </is>
      </c>
      <c r="C26" s="24" t="n">
        <v>1.25</v>
      </c>
      <c r="D26" s="25" t="n"/>
      <c r="E26">
        <f>IF(ABS(D26-Answer_Key!B5)&lt;0.0001,"✓","✗")</f>
        <v/>
      </c>
    </row>
    <row r="27">
      <c r="A27" s="14" t="inlineStr">
        <is>
          <t>s4</t>
        </is>
      </c>
      <c r="B27" s="23" t="inlineStr">
        <is>
          <t>0.0×0.30 + 1.5×0.40 + 0.5×-0.20 + ... + (-0.5)</t>
        </is>
      </c>
      <c r="C27" s="24" t="n">
        <v>0.125</v>
      </c>
      <c r="D27" s="25" t="n"/>
      <c r="E27">
        <f>IF(ABS(D27-Answer_Key!B6)&lt;0.0001,"✓","✗")</f>
        <v/>
      </c>
    </row>
    <row r="28">
      <c r="A28" s="14" t="inlineStr">
        <is>
          <t>s5</t>
        </is>
      </c>
      <c r="B28" s="23" t="inlineStr">
        <is>
          <t>1.0×0.30 + -1.0×0.40 + 2.0×-0.20 + ... + (-0.5)</t>
        </is>
      </c>
      <c r="C28" s="24" t="n">
        <v>-1.125</v>
      </c>
      <c r="D28" s="25" t="n"/>
      <c r="E28">
        <f>IF(ABS(D28-Answer_Key!B7)&lt;0.0001,"✓","✗")</f>
        <v/>
      </c>
    </row>
    <row r="29">
      <c r="A29" s="14" t="inlineStr">
        <is>
          <t>s6</t>
        </is>
      </c>
      <c r="B29" s="23" t="inlineStr">
        <is>
          <t>-0.5×0.30 + 1.0×0.40 + 0.0×-0.20 + ... + (-0.5)</t>
        </is>
      </c>
      <c r="C29" s="24" t="n">
        <v>0.35</v>
      </c>
      <c r="D29" s="25" t="n"/>
      <c r="E29">
        <f>IF(ABS(D29-Answer_Key!B8)&lt;0.0001,"✓","✗")</f>
        <v/>
      </c>
    </row>
    <row r="30">
      <c r="A30" s="14" t="inlineStr">
        <is>
          <t>s7</t>
        </is>
      </c>
      <c r="B30" s="23" t="inlineStr">
        <is>
          <t>1.5×0.30 + 0.5×0.40 + 1.0×-0.20 + ... + (-0.5)</t>
        </is>
      </c>
      <c r="C30" s="24" t="n">
        <v>0.15</v>
      </c>
      <c r="D30" s="25" t="n"/>
      <c r="E30">
        <f>IF(ABS(D30-Answer_Key!B9)&lt;0.0001,"✓","✗")</f>
        <v/>
      </c>
    </row>
    <row r="31">
      <c r="A31" s="14" t="inlineStr">
        <is>
          <t>s8</t>
        </is>
      </c>
      <c r="B31" s="23" t="inlineStr">
        <is>
          <t>0.0×0.30 + 2.0×0.40 + -0.5×-0.20 + ... + (-0.5)</t>
        </is>
      </c>
      <c r="C31" s="24" t="n">
        <v>0.05</v>
      </c>
      <c r="D31" s="25" t="n"/>
      <c r="E31">
        <f>IF(ABS(D31-Answer_Key!B10)&lt;0.0001,"✓","✗")</f>
        <v/>
      </c>
    </row>
    <row r="32">
      <c r="A32" s="14" t="inlineStr">
        <is>
          <t>s9</t>
        </is>
      </c>
      <c r="B32" s="23" t="inlineStr">
        <is>
          <t>1.0×0.30 + 0.0×0.40 + 1.0×-0.20 + ... + (-0.5)</t>
        </is>
      </c>
      <c r="C32" s="24" t="n">
        <v>0.6</v>
      </c>
      <c r="D32" s="25" t="n"/>
      <c r="E32">
        <f>IF(ABS(D32-Answer_Key!B11)&lt;0.0001,"✓","✗")</f>
        <v/>
      </c>
    </row>
    <row r="33">
      <c r="A33" s="14" t="inlineStr">
        <is>
          <t>s10</t>
        </is>
      </c>
      <c r="B33" s="23" t="inlineStr">
        <is>
          <t>0.5×0.30 + 0.5×0.40 + 0.5×-0.20 + ... + (-0.5)</t>
        </is>
      </c>
      <c r="C33" s="24" t="n">
        <v>0</v>
      </c>
      <c r="D33" s="25" t="n"/>
      <c r="E33">
        <f>IF(ABS(D33-Answer_Key!B12)&lt;0.0001,"✓","✗")</f>
        <v/>
      </c>
    </row>
    <row r="34"/>
    <row r="35"/>
    <row r="36">
      <c r="A36" s="3">
        <f>== Step 2: Sigmoid Activation σ(z) = 1/(1+e^(-z)) ===</f>
        <v/>
      </c>
    </row>
    <row r="37">
      <c r="A37" s="26" t="inlineStr">
        <is>
          <t>Hint: First calculate e^(-z), then calculate 1/(1+e^(-z))</t>
        </is>
      </c>
    </row>
    <row r="38"/>
    <row r="39">
      <c r="A39" s="22" t="inlineStr">
        <is>
          <t>Sample</t>
        </is>
      </c>
      <c r="B39" s="22" t="inlineStr">
        <is>
          <t>z_i</t>
        </is>
      </c>
      <c r="C39" s="22" t="inlineStr">
        <is>
          <t>e^(-z)</t>
        </is>
      </c>
      <c r="D39" s="22" t="inlineStr">
        <is>
          <t>σ(z) = y_pred</t>
        </is>
      </c>
      <c r="E39" s="22" t="inlineStr">
        <is>
          <t>Student input</t>
        </is>
      </c>
      <c r="F39" s="22" t="inlineStr">
        <is>
          <t>Verification</t>
        </is>
      </c>
    </row>
    <row r="40">
      <c r="A40" s="14" t="inlineStr">
        <is>
          <t>s1</t>
        </is>
      </c>
      <c r="B40" s="24" t="n">
        <v>0.1</v>
      </c>
      <c r="C40" s="23" t="n">
        <v>0.9048</v>
      </c>
      <c r="D40" s="27" t="n">
        <v>0.525</v>
      </c>
      <c r="E40" s="25" t="n"/>
      <c r="F40">
        <f>IF(ABS(E40-Answer_Key!C3)&lt;0.0001,"✓","✗")</f>
        <v/>
      </c>
    </row>
    <row r="41">
      <c r="A41" s="14" t="inlineStr">
        <is>
          <t>s2</t>
        </is>
      </c>
      <c r="B41" s="24" t="n">
        <v>-0.75</v>
      </c>
      <c r="C41" s="23" t="n">
        <v>2.117</v>
      </c>
      <c r="D41" s="27" t="n">
        <v>0.3208</v>
      </c>
      <c r="E41" s="25" t="n"/>
      <c r="F41">
        <f>IF(ABS(E41-Answer_Key!C4)&lt;0.0001,"✓","✗")</f>
        <v/>
      </c>
    </row>
    <row r="42">
      <c r="A42" s="14" t="inlineStr">
        <is>
          <t>s3</t>
        </is>
      </c>
      <c r="B42" s="24" t="n">
        <v>1.25</v>
      </c>
      <c r="C42" s="23" t="n">
        <v>0.2865</v>
      </c>
      <c r="D42" s="27" t="n">
        <v>0.7773</v>
      </c>
      <c r="E42" s="25" t="n"/>
      <c r="F42">
        <f>IF(ABS(E42-Answer_Key!C5)&lt;0.0001,"✓","✗")</f>
        <v/>
      </c>
    </row>
    <row r="43">
      <c r="A43" s="14" t="inlineStr">
        <is>
          <t>s4</t>
        </is>
      </c>
      <c r="B43" s="24" t="n">
        <v>0.125</v>
      </c>
      <c r="C43" s="23" t="n">
        <v>0.8825</v>
      </c>
      <c r="D43" s="27" t="n">
        <v>0.5312</v>
      </c>
      <c r="E43" s="25" t="n"/>
      <c r="F43">
        <f>IF(ABS(E43-Answer_Key!C6)&lt;0.0001,"✓","✗")</f>
        <v/>
      </c>
    </row>
    <row r="44">
      <c r="A44" s="14" t="inlineStr">
        <is>
          <t>s5</t>
        </is>
      </c>
      <c r="B44" s="24" t="n">
        <v>-1.125</v>
      </c>
      <c r="C44" s="23" t="n">
        <v>3.0802</v>
      </c>
      <c r="D44" s="27" t="n">
        <v>0.2451</v>
      </c>
      <c r="E44" s="25" t="n"/>
      <c r="F44">
        <f>IF(ABS(E44-Answer_Key!C7)&lt;0.0001,"✓","✗")</f>
        <v/>
      </c>
    </row>
    <row r="45">
      <c r="A45" s="14" t="inlineStr">
        <is>
          <t>s6</t>
        </is>
      </c>
      <c r="B45" s="24" t="n">
        <v>0.35</v>
      </c>
      <c r="C45" s="23" t="n">
        <v>0.7047</v>
      </c>
      <c r="D45" s="27" t="n">
        <v>0.5866</v>
      </c>
      <c r="E45" s="25" t="n"/>
      <c r="F45">
        <f>IF(ABS(E45-Answer_Key!C8)&lt;0.0001,"✓","✗")</f>
        <v/>
      </c>
    </row>
    <row r="46">
      <c r="A46" s="14" t="inlineStr">
        <is>
          <t>s7</t>
        </is>
      </c>
      <c r="B46" s="24" t="n">
        <v>0.15</v>
      </c>
      <c r="C46" s="23" t="n">
        <v>0.8607</v>
      </c>
      <c r="D46" s="27" t="n">
        <v>0.5374</v>
      </c>
      <c r="E46" s="25" t="n"/>
      <c r="F46">
        <f>IF(ABS(E46-Answer_Key!C9)&lt;0.0001,"✓","✗")</f>
        <v/>
      </c>
    </row>
    <row r="47">
      <c r="A47" s="14" t="inlineStr">
        <is>
          <t>s8</t>
        </is>
      </c>
      <c r="B47" s="24" t="n">
        <v>0.05</v>
      </c>
      <c r="C47" s="23" t="n">
        <v>0.9512</v>
      </c>
      <c r="D47" s="27" t="n">
        <v>0.5125</v>
      </c>
      <c r="E47" s="25" t="n"/>
      <c r="F47">
        <f>IF(ABS(E47-Answer_Key!C10)&lt;0.0001,"✓","✗")</f>
        <v/>
      </c>
    </row>
    <row r="48">
      <c r="A48" s="14" t="inlineStr">
        <is>
          <t>s9</t>
        </is>
      </c>
      <c r="B48" s="24" t="n">
        <v>0.6</v>
      </c>
      <c r="C48" s="23" t="n">
        <v>0.5488</v>
      </c>
      <c r="D48" s="27" t="n">
        <v>0.6457000000000001</v>
      </c>
      <c r="E48" s="25" t="n"/>
      <c r="F48">
        <f>IF(ABS(E48-Answer_Key!C11)&lt;0.0001,"✓","✗")</f>
        <v/>
      </c>
    </row>
    <row r="49">
      <c r="A49" s="14" t="inlineStr">
        <is>
          <t>s10</t>
        </is>
      </c>
      <c r="B49" s="24" t="n">
        <v>0</v>
      </c>
      <c r="C49" s="23" t="n">
        <v>1</v>
      </c>
      <c r="D49" s="27" t="n">
        <v>0.5</v>
      </c>
      <c r="E49" s="25" t="n"/>
      <c r="F49">
        <f>IF(ABS(E49-Answer_Key!C12)&lt;0.0001,"✓","✗")</f>
        <v/>
      </c>
    </row>
    <row r="50"/>
    <row r="51"/>
    <row r="52">
      <c r="A52" s="3">
        <f>== Step 3: Interpret Prediction Results ===</f>
        <v/>
      </c>
    </row>
    <row r="53">
      <c r="A53" s="26" t="inlineStr">
        <is>
          <t>Rule: y_pred ≥ 0.5 → Class 1, y_pred &lt; 0.5 → Class 0</t>
        </is>
      </c>
    </row>
    <row r="54"/>
    <row r="55">
      <c r="A55" s="22" t="inlineStr">
        <is>
          <t>Sample</t>
        </is>
      </c>
      <c r="B55" s="22" t="inlineStr">
        <is>
          <t>y_pred</t>
        </is>
      </c>
      <c r="C55" s="22" t="inlineStr">
        <is>
          <t>y_true</t>
        </is>
      </c>
      <c r="D55" s="22" t="inlineStr">
        <is>
          <t>Predicted class</t>
        </is>
      </c>
      <c r="E55" s="22" t="inlineStr">
        <is>
          <t>Correctness</t>
        </is>
      </c>
    </row>
    <row r="56">
      <c r="A56" s="14" t="inlineStr">
        <is>
          <t>s1</t>
        </is>
      </c>
      <c r="B56" s="27" t="n">
        <v>0.525</v>
      </c>
      <c r="C56" s="24" t="n">
        <v>1</v>
      </c>
      <c r="D56" s="28" t="n">
        <v>1</v>
      </c>
      <c r="E56" s="29" t="inlineStr">
        <is>
          <t>✓ Correct</t>
        </is>
      </c>
    </row>
    <row r="57">
      <c r="A57" s="14" t="inlineStr">
        <is>
          <t>s2</t>
        </is>
      </c>
      <c r="B57" s="27" t="n">
        <v>0.3208</v>
      </c>
      <c r="C57" s="24" t="n">
        <v>0</v>
      </c>
      <c r="D57" s="28" t="n">
        <v>0</v>
      </c>
      <c r="E57" s="29" t="inlineStr">
        <is>
          <t>✓ Correct</t>
        </is>
      </c>
    </row>
    <row r="58">
      <c r="A58" s="14" t="inlineStr">
        <is>
          <t>s3</t>
        </is>
      </c>
      <c r="B58" s="27" t="n">
        <v>0.7773</v>
      </c>
      <c r="C58" s="24" t="n">
        <v>1</v>
      </c>
      <c r="D58" s="28" t="n">
        <v>1</v>
      </c>
      <c r="E58" s="29" t="inlineStr">
        <is>
          <t>✓ Correct</t>
        </is>
      </c>
    </row>
    <row r="59">
      <c r="A59" s="14" t="inlineStr">
        <is>
          <t>s4</t>
        </is>
      </c>
      <c r="B59" s="27" t="n">
        <v>0.5312</v>
      </c>
      <c r="C59" s="24" t="n">
        <v>1</v>
      </c>
      <c r="D59" s="28" t="n">
        <v>1</v>
      </c>
      <c r="E59" s="29" t="inlineStr">
        <is>
          <t>✓ Correct</t>
        </is>
      </c>
    </row>
    <row r="60">
      <c r="A60" s="14" t="inlineStr">
        <is>
          <t>s5</t>
        </is>
      </c>
      <c r="B60" s="27" t="n">
        <v>0.2451</v>
      </c>
      <c r="C60" s="24" t="n">
        <v>0</v>
      </c>
      <c r="D60" s="28" t="n">
        <v>0</v>
      </c>
      <c r="E60" s="29" t="inlineStr">
        <is>
          <t>✓ Correct</t>
        </is>
      </c>
    </row>
    <row r="61">
      <c r="A61" s="14" t="inlineStr">
        <is>
          <t>s6</t>
        </is>
      </c>
      <c r="B61" s="27" t="n">
        <v>0.5866</v>
      </c>
      <c r="C61" s="24" t="n">
        <v>1</v>
      </c>
      <c r="D61" s="28" t="n">
        <v>1</v>
      </c>
      <c r="E61" s="29" t="inlineStr">
        <is>
          <t>✓ Correct</t>
        </is>
      </c>
    </row>
    <row r="62">
      <c r="A62" s="14" t="inlineStr">
        <is>
          <t>s7</t>
        </is>
      </c>
      <c r="B62" s="27" t="n">
        <v>0.5374</v>
      </c>
      <c r="C62" s="24" t="n">
        <v>1</v>
      </c>
      <c r="D62" s="28" t="n">
        <v>1</v>
      </c>
      <c r="E62" s="29" t="inlineStr">
        <is>
          <t>✓ Correct</t>
        </is>
      </c>
    </row>
    <row r="63">
      <c r="A63" s="14" t="inlineStr">
        <is>
          <t>s8</t>
        </is>
      </c>
      <c r="B63" s="27" t="n">
        <v>0.5125</v>
      </c>
      <c r="C63" s="24" t="n">
        <v>0</v>
      </c>
      <c r="D63" s="28" t="n">
        <v>1</v>
      </c>
      <c r="E63" s="30" t="inlineStr">
        <is>
          <t>✗ Wrong</t>
        </is>
      </c>
    </row>
    <row r="64">
      <c r="A64" s="14" t="inlineStr">
        <is>
          <t>s9</t>
        </is>
      </c>
      <c r="B64" s="27" t="n">
        <v>0.6457000000000001</v>
      </c>
      <c r="C64" s="24" t="n">
        <v>1</v>
      </c>
      <c r="D64" s="28" t="n">
        <v>1</v>
      </c>
      <c r="E64" s="29" t="inlineStr">
        <is>
          <t>✓ Correct</t>
        </is>
      </c>
    </row>
    <row r="65">
      <c r="A65" s="14" t="inlineStr">
        <is>
          <t>s10</t>
        </is>
      </c>
      <c r="B65" s="27" t="n">
        <v>0.5</v>
      </c>
      <c r="C65" s="24" t="n">
        <v>0</v>
      </c>
      <c r="D65" s="28" t="n">
        <v>1</v>
      </c>
      <c r="E65" s="30" t="inlineStr">
        <is>
          <t>✗ Wrong</t>
        </is>
      </c>
    </row>
    <row r="66"/>
    <row r="67">
      <c r="A67" s="14" t="inlineStr">
        <is>
          <t>Accuracy: 8/10 = 80%</t>
        </is>
      </c>
    </row>
    <row r="68"/>
    <row r="69">
      <c r="A69" s="3">
        <f>== Step 4: Binary Cross-Entropy Loss ===</f>
        <v/>
      </c>
    </row>
    <row r="70">
      <c r="A70" s="21" t="inlineStr">
        <is>
          <t>Formula: L_i = -[y × log(ŷ) + (1-y) × log(1-ŷ)]</t>
        </is>
      </c>
    </row>
    <row r="71"/>
    <row r="72">
      <c r="A72" s="22" t="inlineStr">
        <is>
          <t>Sample</t>
        </is>
      </c>
      <c r="B72" s="22" t="inlineStr">
        <is>
          <t>y_true</t>
        </is>
      </c>
      <c r="C72" s="22" t="inlineStr">
        <is>
          <t>y_pred</t>
        </is>
      </c>
      <c r="D72" s="22" t="inlineStr">
        <is>
          <t>BCE_i</t>
        </is>
      </c>
      <c r="E72" s="22" t="inlineStr">
        <is>
          <t>Student input</t>
        </is>
      </c>
      <c r="F72" s="22" t="inlineStr">
        <is>
          <t>Verification</t>
        </is>
      </c>
    </row>
    <row r="73">
      <c r="A73" s="14" t="inlineStr">
        <is>
          <t>s1</t>
        </is>
      </c>
      <c r="B73" s="24" t="n">
        <v>1</v>
      </c>
      <c r="C73" s="27" t="n">
        <v>0.525</v>
      </c>
      <c r="D73" s="31" t="n">
        <v>0.6444</v>
      </c>
      <c r="E73" s="25" t="n"/>
      <c r="F73">
        <f>IF(ABS(E73-Answer_Key!D3)&lt;0.0001,"✓","✗")</f>
        <v/>
      </c>
    </row>
    <row r="74">
      <c r="A74" s="14" t="inlineStr">
        <is>
          <t>s2</t>
        </is>
      </c>
      <c r="B74" s="24" t="n">
        <v>0</v>
      </c>
      <c r="C74" s="27" t="n">
        <v>0.3208</v>
      </c>
      <c r="D74" s="31" t="n">
        <v>0.3869</v>
      </c>
      <c r="E74" s="25" t="n"/>
      <c r="F74">
        <f>IF(ABS(E74-Answer_Key!D4)&lt;0.0001,"✓","✗")</f>
        <v/>
      </c>
    </row>
    <row r="75">
      <c r="A75" s="14" t="inlineStr">
        <is>
          <t>s3</t>
        </is>
      </c>
      <c r="B75" s="24" t="n">
        <v>1</v>
      </c>
      <c r="C75" s="27" t="n">
        <v>0.7773</v>
      </c>
      <c r="D75" s="31" t="n">
        <v>0.2519</v>
      </c>
      <c r="E75" s="25" t="n"/>
      <c r="F75">
        <f>IF(ABS(E75-Answer_Key!D5)&lt;0.0001,"✓","✗")</f>
        <v/>
      </c>
    </row>
    <row r="76">
      <c r="A76" s="14" t="inlineStr">
        <is>
          <t>s4</t>
        </is>
      </c>
      <c r="B76" s="24" t="n">
        <v>1</v>
      </c>
      <c r="C76" s="27" t="n">
        <v>0.5312</v>
      </c>
      <c r="D76" s="31" t="n">
        <v>0.6326000000000001</v>
      </c>
      <c r="E76" s="25" t="n"/>
      <c r="F76">
        <f>IF(ABS(E76-Answer_Key!D6)&lt;0.0001,"✓","✗")</f>
        <v/>
      </c>
    </row>
    <row r="77">
      <c r="A77" s="14" t="inlineStr">
        <is>
          <t>s5</t>
        </is>
      </c>
      <c r="B77" s="24" t="n">
        <v>0</v>
      </c>
      <c r="C77" s="27" t="n">
        <v>0.2451</v>
      </c>
      <c r="D77" s="31" t="n">
        <v>0.2812</v>
      </c>
      <c r="E77" s="25" t="n"/>
      <c r="F77">
        <f>IF(ABS(E77-Answer_Key!D7)&lt;0.0001,"✓","✗")</f>
        <v/>
      </c>
    </row>
    <row r="78">
      <c r="A78" s="14" t="inlineStr">
        <is>
          <t>s6</t>
        </is>
      </c>
      <c r="B78" s="24" t="n">
        <v>1</v>
      </c>
      <c r="C78" s="27" t="n">
        <v>0.5866</v>
      </c>
      <c r="D78" s="31" t="n">
        <v>0.5334</v>
      </c>
      <c r="E78" s="25" t="n"/>
      <c r="F78">
        <f>IF(ABS(E78-Answer_Key!D8)&lt;0.0001,"✓","✗")</f>
        <v/>
      </c>
    </row>
    <row r="79">
      <c r="A79" s="14" t="inlineStr">
        <is>
          <t>s7</t>
        </is>
      </c>
      <c r="B79" s="24" t="n">
        <v>1</v>
      </c>
      <c r="C79" s="27" t="n">
        <v>0.5374</v>
      </c>
      <c r="D79" s="31" t="n">
        <v>0.621</v>
      </c>
      <c r="E79" s="25" t="n"/>
      <c r="F79">
        <f>IF(ABS(E79-Answer_Key!D9)&lt;0.0001,"✓","✗")</f>
        <v/>
      </c>
    </row>
    <row r="80">
      <c r="A80" s="14" t="inlineStr">
        <is>
          <t>s8</t>
        </is>
      </c>
      <c r="B80" s="24" t="n">
        <v>0</v>
      </c>
      <c r="C80" s="27" t="n">
        <v>0.5125</v>
      </c>
      <c r="D80" s="31" t="n">
        <v>0.7185</v>
      </c>
      <c r="E80" s="25" t="n"/>
      <c r="F80">
        <f>IF(ABS(E80-Answer_Key!D10)&lt;0.0001,"✓","✗")</f>
        <v/>
      </c>
    </row>
    <row r="81">
      <c r="A81" s="14" t="inlineStr">
        <is>
          <t>s9</t>
        </is>
      </c>
      <c r="B81" s="24" t="n">
        <v>1</v>
      </c>
      <c r="C81" s="27" t="n">
        <v>0.6457000000000001</v>
      </c>
      <c r="D81" s="31" t="n">
        <v>0.4375</v>
      </c>
      <c r="E81" s="25" t="n"/>
      <c r="F81">
        <f>IF(ABS(E81-Answer_Key!D11)&lt;0.0001,"✓","✗")</f>
        <v/>
      </c>
    </row>
    <row r="82">
      <c r="A82" s="14" t="inlineStr">
        <is>
          <t>s10</t>
        </is>
      </c>
      <c r="B82" s="24" t="n">
        <v>0</v>
      </c>
      <c r="C82" s="27" t="n">
        <v>0.5</v>
      </c>
      <c r="D82" s="31" t="n">
        <v>0.6931</v>
      </c>
      <c r="E82" s="25" t="n"/>
      <c r="F82">
        <f>IF(ABS(E82-Answer_Key!D12)&lt;0.0001,"✓","✗")</f>
        <v/>
      </c>
    </row>
    <row r="83"/>
    <row r="84"/>
    <row r="85">
      <c r="A85" s="3">
        <f>== Final Loss (Average BCE) ===</f>
        <v/>
      </c>
    </row>
    <row r="86">
      <c r="A86" t="inlineStr">
        <is>
          <t>Σ(BCE_i) =</t>
        </is>
      </c>
      <c r="B86" s="23" t="n">
        <v>5.200378</v>
      </c>
    </row>
    <row r="87">
      <c r="A87" t="inlineStr">
        <is>
          <t>n (sample count) =</t>
        </is>
      </c>
      <c r="B87" s="23" t="n">
        <v>10</v>
      </c>
    </row>
    <row r="88">
      <c r="A88" s="14" t="inlineStr">
        <is>
          <t>Loss = Σ/n =</t>
        </is>
      </c>
      <c r="B88" s="25" t="n"/>
      <c r="C88">
        <f>IF(ABS(B88-Answer_Key!B18)&lt;0.0001,"✓","✗")</f>
        <v/>
      </c>
    </row>
    <row r="89"/>
    <row r="90">
      <c r="A90" s="3">
        <f>== Result Summary ===</f>
        <v/>
      </c>
    </row>
    <row r="91">
      <c r="A91" s="32" t="inlineStr">
        <is>
          <t>Final BCE Loss: 0.520038</t>
        </is>
      </c>
    </row>
  </sheetData>
  <conditionalFormatting sqref="E1:E100">
    <cfRule type="expression" priority="1" dxfId="0">
      <formula>F1="✓"</formula>
    </cfRule>
    <cfRule type="expression" priority="2" dxfId="1">
      <formula>F1="✗"</formula>
    </cfRule>
  </conditionalFormatting>
  <conditionalFormatting sqref="F1:F100">
    <cfRule type="expression" priority="1" dxfId="0">
      <formula>F1="✓"</formula>
    </cfRule>
    <cfRule type="expression" priority="2" dxfId="1">
      <formula>F1="✗"</formula>
    </cfRule>
  </conditionalFormatting>
  <conditionalFormatting sqref="C1:C100">
    <cfRule type="expression" priority="1" dxfId="0">
      <formula>F1="✓"</formula>
    </cfRule>
    <cfRule type="expression" priority="2" dxfId="1">
      <formula>F1="✗"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Backward Propagation - Logistic Regression</t>
        </is>
      </c>
    </row>
    <row r="2"/>
    <row r="3">
      <c r="A3" s="33" t="inlineStr">
        <is>
          <t>★ Key: BCE + Sigmoid gradient = (y_pred - y_true) / n</t>
        </is>
      </c>
    </row>
    <row r="4"/>
    <row r="5">
      <c r="A5" s="14" t="inlineStr">
        <is>
          <t>Progress:</t>
        </is>
      </c>
      <c r="B5">
        <f>COUNTIF(E:E,"✓")/20*100&amp;"%"</f>
        <v/>
      </c>
    </row>
    <row r="6"/>
    <row r="7">
      <c r="A7" s="14" t="inlineStr">
        <is>
          <t>Learning rate (lr):</t>
        </is>
      </c>
      <c r="B7" s="34" t="n">
        <v>0.1</v>
      </c>
    </row>
    <row r="8"/>
    <row r="9">
      <c r="A9" s="3">
        <f>== Step 1: Output Gradient ∂L/∂Z ===</f>
        <v/>
      </c>
    </row>
    <row r="10">
      <c r="A10" s="21" t="inlineStr">
        <is>
          <t>Formula: ∂L/∂z_i = (1/n) × (y_pred_i - y_true_i)</t>
        </is>
      </c>
    </row>
    <row r="11">
      <c r="A11" s="35" t="inlineStr">
        <is>
          <t>※ BCE + Sigmoid combination gradient simplifies nicely!</t>
        </is>
      </c>
    </row>
    <row r="12"/>
    <row r="13">
      <c r="A13" s="22" t="inlineStr">
        <is>
          <t>Sample</t>
        </is>
      </c>
      <c r="B13" s="22" t="inlineStr">
        <is>
          <t>y_pred - y_true</t>
        </is>
      </c>
      <c r="C13" s="22" t="inlineStr">
        <is>
          <t>∂L/∂z</t>
        </is>
      </c>
      <c r="D13" s="22" t="inlineStr">
        <is>
          <t>Student input</t>
        </is>
      </c>
      <c r="E13" s="22" t="inlineStr">
        <is>
          <t>Verification</t>
        </is>
      </c>
    </row>
    <row r="14">
      <c r="A14" s="14" t="inlineStr">
        <is>
          <t>s1</t>
        </is>
      </c>
      <c r="B14" s="23" t="inlineStr">
        <is>
          <t>0.5250 - 1 = -0.4750</t>
        </is>
      </c>
      <c r="C14" s="31" t="n">
        <v>-0.047502</v>
      </c>
      <c r="D14" s="25" t="n"/>
      <c r="E14">
        <f>IF(ABS(D14-Answer_Key!B23)&lt;0.0001,"✓","✗")</f>
        <v/>
      </c>
    </row>
    <row r="15">
      <c r="A15" s="14" t="inlineStr">
        <is>
          <t>s2</t>
        </is>
      </c>
      <c r="B15" s="23" t="inlineStr">
        <is>
          <t>0.3208 - 0 = 0.3208</t>
        </is>
      </c>
      <c r="C15" s="31" t="n">
        <v>0.032082</v>
      </c>
      <c r="D15" s="25" t="n"/>
      <c r="E15">
        <f>IF(ABS(D15-Answer_Key!B24)&lt;0.0001,"✓","✗")</f>
        <v/>
      </c>
    </row>
    <row r="16">
      <c r="A16" s="14" t="inlineStr">
        <is>
          <t>s3</t>
        </is>
      </c>
      <c r="B16" s="23" t="inlineStr">
        <is>
          <t>0.7773 - 1 = -0.2227</t>
        </is>
      </c>
      <c r="C16" s="31" t="n">
        <v>-0.02227</v>
      </c>
      <c r="D16" s="25" t="n"/>
      <c r="E16">
        <f>IF(ABS(D16-Answer_Key!B25)&lt;0.0001,"✓","✗")</f>
        <v/>
      </c>
    </row>
    <row r="17">
      <c r="A17" s="14" t="inlineStr">
        <is>
          <t>s4</t>
        </is>
      </c>
      <c r="B17" s="23" t="inlineStr">
        <is>
          <t>0.5312 - 1 = -0.4688</t>
        </is>
      </c>
      <c r="C17" s="31" t="n">
        <v>-0.046879</v>
      </c>
      <c r="D17" s="25" t="n"/>
      <c r="E17">
        <f>IF(ABS(D17-Answer_Key!B26)&lt;0.0001,"✓","✗")</f>
        <v/>
      </c>
    </row>
    <row r="18">
      <c r="A18" s="14" t="inlineStr">
        <is>
          <t>s5</t>
        </is>
      </c>
      <c r="B18" s="23" t="inlineStr">
        <is>
          <t>0.2451 - 0 = 0.2451</t>
        </is>
      </c>
      <c r="C18" s="31" t="n">
        <v>0.024509</v>
      </c>
      <c r="D18" s="25" t="n"/>
      <c r="E18">
        <f>IF(ABS(D18-Answer_Key!B27)&lt;0.0001,"✓","✗")</f>
        <v/>
      </c>
    </row>
    <row r="19">
      <c r="A19" s="14" t="inlineStr">
        <is>
          <t>s6</t>
        </is>
      </c>
      <c r="B19" s="23" t="inlineStr">
        <is>
          <t>0.5866 - 1 = -0.4134</t>
        </is>
      </c>
      <c r="C19" s="31" t="n">
        <v>-0.041338</v>
      </c>
      <c r="D19" s="25" t="n"/>
      <c r="E19">
        <f>IF(ABS(D19-Answer_Key!B28)&lt;0.0001,"✓","✗")</f>
        <v/>
      </c>
    </row>
    <row r="20">
      <c r="A20" s="14" t="inlineStr">
        <is>
          <t>s7</t>
        </is>
      </c>
      <c r="B20" s="23" t="inlineStr">
        <is>
          <t>0.5374 - 1 = -0.4626</t>
        </is>
      </c>
      <c r="C20" s="31" t="n">
        <v>-0.046257</v>
      </c>
      <c r="D20" s="25" t="n"/>
      <c r="E20">
        <f>IF(ABS(D20-Answer_Key!B29)&lt;0.0001,"✓","✗")</f>
        <v/>
      </c>
    </row>
    <row r="21">
      <c r="A21" s="14" t="inlineStr">
        <is>
          <t>s8</t>
        </is>
      </c>
      <c r="B21" s="23" t="inlineStr">
        <is>
          <t>0.5125 - 0 = 0.5125</t>
        </is>
      </c>
      <c r="C21" s="31" t="n">
        <v>0.05125</v>
      </c>
      <c r="D21" s="25" t="n"/>
      <c r="E21">
        <f>IF(ABS(D21-Answer_Key!B30)&lt;0.0001,"✓","✗")</f>
        <v/>
      </c>
    </row>
    <row r="22">
      <c r="A22" s="14" t="inlineStr">
        <is>
          <t>s9</t>
        </is>
      </c>
      <c r="B22" s="23" t="inlineStr">
        <is>
          <t>0.6457 - 1 = -0.3543</t>
        </is>
      </c>
      <c r="C22" s="31" t="n">
        <v>-0.035434</v>
      </c>
      <c r="D22" s="25" t="n"/>
      <c r="E22">
        <f>IF(ABS(D22-Answer_Key!B31)&lt;0.0001,"✓","✗")</f>
        <v/>
      </c>
    </row>
    <row r="23">
      <c r="A23" s="14" t="inlineStr">
        <is>
          <t>s10</t>
        </is>
      </c>
      <c r="B23" s="23" t="inlineStr">
        <is>
          <t>0.5000 - 0 = 0.5000</t>
        </is>
      </c>
      <c r="C23" s="31" t="n">
        <v>0.05</v>
      </c>
      <c r="D23" s="25" t="n"/>
      <c r="E23">
        <f>IF(ABS(D23-Answer_Key!B32)&lt;0.0001,"✓","✗")</f>
        <v/>
      </c>
    </row>
    <row r="24"/>
    <row r="25"/>
    <row r="26">
      <c r="A26" s="3">
        <f>== Step 2: Weight Gradient ∂L/∂W ===</f>
        <v/>
      </c>
    </row>
    <row r="27">
      <c r="A27" s="21" t="inlineStr">
        <is>
          <t>Formula: ∂L/∂W = X^T · ∂L/∂Z</t>
        </is>
      </c>
    </row>
    <row r="28">
      <c r="A28" s="21" t="inlineStr">
        <is>
          <t>Each weight: ∂L/∂w_j = Σ_i (x_ij × ∂L/∂z_i)</t>
        </is>
      </c>
    </row>
    <row r="29"/>
    <row r="30">
      <c r="A30" s="22" t="inlineStr">
        <is>
          <t>Weight</t>
        </is>
      </c>
      <c r="B30" s="22" t="inlineStr">
        <is>
          <t>Calculation (column j of X · ∂L/∂Z)</t>
        </is>
      </c>
      <c r="C30" s="22" t="inlineStr">
        <is>
          <t>∂L/∂w</t>
        </is>
      </c>
      <c r="D30" s="22" t="inlineStr">
        <is>
          <t>Student input</t>
        </is>
      </c>
      <c r="E30" s="22" t="inlineStr">
        <is>
          <t>Verification</t>
        </is>
      </c>
    </row>
    <row r="31">
      <c r="A31" s="14" t="inlineStr">
        <is>
          <t>∂L/∂w1</t>
        </is>
      </c>
      <c r="B31" s="23" t="inlineStr">
        <is>
          <t>1.0×-0.0475 + 0.5×0.0321 + ...</t>
        </is>
      </c>
      <c r="C31" s="31" t="n">
        <v>-0.110643</v>
      </c>
      <c r="D31" s="25" t="n"/>
      <c r="E31">
        <f>IF(ABS(D31-Answer_Key!B35)&lt;0.0001,"✓","✗")</f>
        <v/>
      </c>
    </row>
    <row r="32">
      <c r="A32" s="14" t="inlineStr">
        <is>
          <t>∂L/∂w2</t>
        </is>
      </c>
      <c r="B32" s="23" t="inlineStr">
        <is>
          <t>2.0×-0.0475 + 1.0×0.0321 + ...</t>
        </is>
      </c>
      <c r="C32" s="31" t="n">
        <v>-0.09471599999999999</v>
      </c>
      <c r="D32" s="25" t="n"/>
      <c r="E32">
        <f>IF(ABS(D32-Answer_Key!B36)&lt;0.0001,"✓","✗")</f>
        <v/>
      </c>
    </row>
    <row r="33">
      <c r="A33" s="14" t="inlineStr">
        <is>
          <t>∂L/∂w3</t>
        </is>
      </c>
      <c r="B33" s="23" t="inlineStr">
        <is>
          <t>0.0×-0.0475 + 1.0×0.0321 + ...</t>
        </is>
      </c>
      <c r="C33" s="31" t="n">
        <v>-0.002387</v>
      </c>
      <c r="D33" s="25" t="n"/>
      <c r="E33">
        <f>IF(ABS(D33-Answer_Key!B37)&lt;0.0001,"✓","✗")</f>
        <v/>
      </c>
    </row>
    <row r="34">
      <c r="A34" s="14" t="inlineStr">
        <is>
          <t>∂L/∂w4</t>
        </is>
      </c>
      <c r="B34" s="23" t="inlineStr">
        <is>
          <t>-1.0×-0.0475 + 0.0×0.0321 + ...</t>
        </is>
      </c>
      <c r="C34" s="31" t="n">
        <v>-0.047521</v>
      </c>
      <c r="D34" s="25" t="n"/>
      <c r="E34">
        <f>IF(ABS(D34-Answer_Key!B38)&lt;0.0001,"✓","✗")</f>
        <v/>
      </c>
    </row>
    <row r="35">
      <c r="A35" s="14" t="inlineStr">
        <is>
          <t>∂L/∂w5</t>
        </is>
      </c>
      <c r="B35" s="23" t="inlineStr">
        <is>
          <t>1.0×-0.0475 + 0.5×0.0321 + ...</t>
        </is>
      </c>
      <c r="C35" s="31" t="n">
        <v>0.105043</v>
      </c>
      <c r="D35" s="25" t="n"/>
      <c r="E35">
        <f>IF(ABS(D35-Answer_Key!B39)&lt;0.0001,"✓","✗")</f>
        <v/>
      </c>
    </row>
    <row r="36">
      <c r="A36" s="14" t="inlineStr">
        <is>
          <t>∂L/∂w6</t>
        </is>
      </c>
      <c r="B36" s="23" t="inlineStr">
        <is>
          <t>0.0×-0.0475 + -1.0×0.0321 + ...</t>
        </is>
      </c>
      <c r="C36" s="31" t="n">
        <v>-0.146825</v>
      </c>
      <c r="D36" s="25" t="n"/>
      <c r="E36">
        <f>IF(ABS(D36-Answer_Key!B40)&lt;0.0001,"✓","✗")</f>
        <v/>
      </c>
    </row>
    <row r="37">
      <c r="A37" s="14" t="inlineStr">
        <is>
          <t>∂L/∂w7</t>
        </is>
      </c>
      <c r="B37" s="23" t="inlineStr">
        <is>
          <t>0.5×-0.0475 + 0.0×0.0321 + ...</t>
        </is>
      </c>
      <c r="C37" s="31" t="n">
        <v>0.01748</v>
      </c>
      <c r="D37" s="25" t="n"/>
      <c r="E37">
        <f>IF(ABS(D37-Answer_Key!B41)&lt;0.0001,"✓","✗")</f>
        <v/>
      </c>
    </row>
    <row r="38">
      <c r="A38" s="14" t="inlineStr">
        <is>
          <t>∂L/∂w8</t>
        </is>
      </c>
      <c r="B38" s="23" t="inlineStr">
        <is>
          <t>-0.5×-0.0475 + 1.0×0.0321 + ...</t>
        </is>
      </c>
      <c r="C38" s="31" t="n">
        <v>0.087937</v>
      </c>
      <c r="D38" s="25" t="n"/>
      <c r="E38">
        <f>IF(ABS(D38-Answer_Key!B42)&lt;0.0001,"✓","✗")</f>
        <v/>
      </c>
    </row>
    <row r="39"/>
    <row r="40">
      <c r="A40" s="14" t="inlineStr">
        <is>
          <t>∂L/∂b</t>
        </is>
      </c>
      <c r="B40" s="23" t="inlineStr">
        <is>
          <t>Σ(∂L/∂z_i)</t>
        </is>
      </c>
      <c r="C40" s="31" t="n">
        <v>-0.08184</v>
      </c>
      <c r="D40" s="25" t="n"/>
      <c r="E40">
        <f>IF(ABS(D40-Answer_Key!B43)&lt;0.0001,"✓","✗")</f>
        <v/>
      </c>
    </row>
    <row r="41"/>
    <row r="42">
      <c r="A42" s="3">
        <f>== Step 3: Weight Update ===</f>
        <v/>
      </c>
    </row>
    <row r="43">
      <c r="A43" s="21" t="inlineStr">
        <is>
          <t>Formula: w_new = w_old - lr × ∂L/∂w (lr = 0.1)</t>
        </is>
      </c>
    </row>
    <row r="44"/>
    <row r="45">
      <c r="A45" s="22" t="inlineStr">
        <is>
          <t>Weight</t>
        </is>
      </c>
      <c r="B45" s="22" t="inlineStr">
        <is>
          <t>Existing value</t>
        </is>
      </c>
      <c r="C45" s="22" t="inlineStr">
        <is>
          <t>Gradient</t>
        </is>
      </c>
      <c r="D45" s="22" t="inlineStr">
        <is>
          <t>New value</t>
        </is>
      </c>
      <c r="E45" s="22" t="inlineStr">
        <is>
          <t>Student input</t>
        </is>
      </c>
      <c r="F45" s="22" t="inlineStr">
        <is>
          <t>Verification</t>
        </is>
      </c>
    </row>
    <row r="46">
      <c r="A46" s="14" t="inlineStr">
        <is>
          <t>w1</t>
        </is>
      </c>
      <c r="B46" s="34" t="n">
        <v>0.3</v>
      </c>
      <c r="C46" s="31" t="n">
        <v>-0.110643</v>
      </c>
      <c r="D46" s="32" t="n">
        <v>0.311064</v>
      </c>
      <c r="E46" s="25" t="n"/>
      <c r="F46">
        <f>IF(ABS(E46-Answer_Key!B46)&lt;0.0001,"✓","✗")</f>
        <v/>
      </c>
    </row>
    <row r="47">
      <c r="A47" s="14" t="inlineStr">
        <is>
          <t>w2</t>
        </is>
      </c>
      <c r="B47" s="34" t="n">
        <v>0.4</v>
      </c>
      <c r="C47" s="31" t="n">
        <v>-0.09471599999999999</v>
      </c>
      <c r="D47" s="32" t="n">
        <v>0.409472</v>
      </c>
      <c r="E47" s="25" t="n"/>
      <c r="F47">
        <f>IF(ABS(E47-Answer_Key!B47)&lt;0.0001,"✓","✗")</f>
        <v/>
      </c>
    </row>
    <row r="48">
      <c r="A48" s="14" t="inlineStr">
        <is>
          <t>w3</t>
        </is>
      </c>
      <c r="B48" s="34" t="n">
        <v>-0.2</v>
      </c>
      <c r="C48" s="31" t="n">
        <v>-0.002387</v>
      </c>
      <c r="D48" s="32" t="n">
        <v>-0.199761</v>
      </c>
      <c r="E48" s="25" t="n"/>
      <c r="F48">
        <f>IF(ABS(E48-Answer_Key!B48)&lt;0.0001,"✓","✗")</f>
        <v/>
      </c>
    </row>
    <row r="49">
      <c r="A49" s="14" t="inlineStr">
        <is>
          <t>w4</t>
        </is>
      </c>
      <c r="B49" s="34" t="n">
        <v>0.5</v>
      </c>
      <c r="C49" s="31" t="n">
        <v>-0.047521</v>
      </c>
      <c r="D49" s="32" t="n">
        <v>0.504752</v>
      </c>
      <c r="E49" s="25" t="n"/>
      <c r="F49">
        <f>IF(ABS(E49-Answer_Key!B49)&lt;0.0001,"✓","✗")</f>
        <v/>
      </c>
    </row>
    <row r="50">
      <c r="A50" s="14" t="inlineStr">
        <is>
          <t>w5</t>
        </is>
      </c>
      <c r="B50" s="34" t="n">
        <v>-0.3</v>
      </c>
      <c r="C50" s="31" t="n">
        <v>0.105043</v>
      </c>
      <c r="D50" s="32" t="n">
        <v>-0.310504</v>
      </c>
      <c r="E50" s="25" t="n"/>
      <c r="F50">
        <f>IF(ABS(E50-Answer_Key!B50)&lt;0.0001,"✓","✗")</f>
        <v/>
      </c>
    </row>
    <row r="51">
      <c r="A51" s="14" t="inlineStr">
        <is>
          <t>w6</t>
        </is>
      </c>
      <c r="B51" s="34" t="n">
        <v>0.2</v>
      </c>
      <c r="C51" s="31" t="n">
        <v>-0.146825</v>
      </c>
      <c r="D51" s="32" t="n">
        <v>0.214682</v>
      </c>
      <c r="E51" s="25" t="n"/>
      <c r="F51">
        <f>IF(ABS(E51-Answer_Key!B51)&lt;0.0001,"✓","✗")</f>
        <v/>
      </c>
    </row>
    <row r="52">
      <c r="A52" s="14" t="inlineStr">
        <is>
          <t>w7</t>
        </is>
      </c>
      <c r="B52" s="34" t="n">
        <v>0.35</v>
      </c>
      <c r="C52" s="31" t="n">
        <v>0.01748</v>
      </c>
      <c r="D52" s="32" t="n">
        <v>0.348252</v>
      </c>
      <c r="E52" s="25" t="n"/>
      <c r="F52">
        <f>IF(ABS(E52-Answer_Key!B52)&lt;0.0001,"✓","✗")</f>
        <v/>
      </c>
    </row>
    <row r="53">
      <c r="A53" s="14" t="inlineStr">
        <is>
          <t>w8</t>
        </is>
      </c>
      <c r="B53" s="34" t="n">
        <v>-0.25</v>
      </c>
      <c r="C53" s="31" t="n">
        <v>0.087937</v>
      </c>
      <c r="D53" s="32" t="n">
        <v>-0.258794</v>
      </c>
      <c r="E53" s="25" t="n"/>
      <c r="F53">
        <f>IF(ABS(E53-Answer_Key!B53)&lt;0.0001,"✓","✗")</f>
        <v/>
      </c>
    </row>
    <row r="54">
      <c r="A54" s="14" t="inlineStr">
        <is>
          <t>b</t>
        </is>
      </c>
      <c r="B54" s="34" t="n">
        <v>-0.5</v>
      </c>
      <c r="C54" s="31" t="n">
        <v>-0.08184</v>
      </c>
      <c r="D54" s="32" t="n">
        <v>-0.491816</v>
      </c>
      <c r="E54" s="25" t="n"/>
      <c r="F54">
        <f>IF(ABS(E54-Answer_Key!B54)&lt;0.0001,"✓","✗")</f>
        <v/>
      </c>
    </row>
    <row r="55"/>
    <row r="56">
      <c r="A56" s="3">
        <f>== Verification: Confirm Loss Decrease ===</f>
        <v/>
      </c>
    </row>
    <row r="57"/>
    <row r="58">
      <c r="A58" s="14" t="inlineStr">
        <is>
          <t>BCE Loss before update:</t>
        </is>
      </c>
      <c r="B58" s="31" t="n">
        <v>0.520038</v>
      </c>
    </row>
    <row r="59">
      <c r="A59" s="14" t="inlineStr">
        <is>
          <t>BCE Loss after update:</t>
        </is>
      </c>
      <c r="B59" s="32" t="n">
        <v>0.513049</v>
      </c>
    </row>
    <row r="60">
      <c r="A60" s="14" t="inlineStr">
        <is>
          <t>Loss reduction:</t>
        </is>
      </c>
      <c r="B60" s="36" t="n">
        <v>0.006989</v>
      </c>
    </row>
  </sheetData>
  <conditionalFormatting sqref="E1:E100">
    <cfRule type="expression" priority="1" dxfId="0">
      <formula>E1="✓"</formula>
    </cfRule>
    <cfRule type="expression" priority="2" dxfId="1">
      <formula>E1="✗"</formula>
    </cfRule>
  </conditionalFormatting>
  <conditionalFormatting sqref="F1:F100">
    <cfRule type="expression" priority="1" dxfId="0">
      <formula>E1="✓"</formula>
    </cfRule>
    <cfRule type="expression" priority="2" dxfId="1">
      <formula>E1="✗"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Answer Key - Logistic Regression</t>
        </is>
      </c>
    </row>
    <row r="2"/>
    <row r="3">
      <c r="A3" s="3">
        <f>== Forward ===</f>
        <v/>
      </c>
      <c r="B3" s="14" t="inlineStr">
        <is>
          <t>z_i</t>
        </is>
      </c>
      <c r="C3" s="14" t="inlineStr">
        <is>
          <t>y_pred_i</t>
        </is>
      </c>
      <c r="D3" s="14" t="inlineStr">
        <is>
          <t>BCE_i</t>
        </is>
      </c>
    </row>
    <row r="4">
      <c r="A4" t="inlineStr">
        <is>
          <t>Sample 1</t>
        </is>
      </c>
      <c r="B4" t="n">
        <v>0.1</v>
      </c>
      <c r="C4" t="n">
        <v>0.524979</v>
      </c>
      <c r="D4" t="n">
        <v>0.644396</v>
      </c>
    </row>
    <row r="5">
      <c r="A5" t="inlineStr">
        <is>
          <t>Sample 2</t>
        </is>
      </c>
      <c r="B5" t="n">
        <v>-0.75</v>
      </c>
      <c r="C5" t="n">
        <v>0.320821</v>
      </c>
      <c r="D5" t="n">
        <v>0.386871</v>
      </c>
    </row>
    <row r="6">
      <c r="A6" t="inlineStr">
        <is>
          <t>Sample 3</t>
        </is>
      </c>
      <c r="B6" t="n">
        <v>1.25</v>
      </c>
      <c r="C6" t="n">
        <v>0.7773</v>
      </c>
      <c r="D6" t="n">
        <v>0.251929</v>
      </c>
    </row>
    <row r="7">
      <c r="A7" t="inlineStr">
        <is>
          <t>Sample 4</t>
        </is>
      </c>
      <c r="B7" t="n">
        <v>0.125</v>
      </c>
      <c r="C7" t="n">
        <v>0.531209</v>
      </c>
      <c r="D7" t="n">
        <v>0.632599</v>
      </c>
    </row>
    <row r="8">
      <c r="A8" t="inlineStr">
        <is>
          <t>Sample 5</t>
        </is>
      </c>
      <c r="B8" t="n">
        <v>-1.125</v>
      </c>
      <c r="C8" t="n">
        <v>0.245085</v>
      </c>
      <c r="D8" t="n">
        <v>0.28115</v>
      </c>
    </row>
    <row r="9">
      <c r="A9" t="inlineStr">
        <is>
          <t>Sample 6</t>
        </is>
      </c>
      <c r="B9" t="n">
        <v>0.35</v>
      </c>
      <c r="C9" t="n">
        <v>0.586618</v>
      </c>
      <c r="D9" t="n">
        <v>0.533382</v>
      </c>
    </row>
    <row r="10">
      <c r="A10" t="inlineStr">
        <is>
          <t>Sample 7</t>
        </is>
      </c>
      <c r="B10" t="n">
        <v>0.15</v>
      </c>
      <c r="C10" t="n">
        <v>0.53743</v>
      </c>
      <c r="D10" t="n">
        <v>0.620957</v>
      </c>
    </row>
    <row r="11">
      <c r="A11" t="inlineStr">
        <is>
          <t>Sample 8</t>
        </is>
      </c>
      <c r="B11" t="n">
        <v>0.05</v>
      </c>
      <c r="C11" t="n">
        <v>0.512497</v>
      </c>
      <c r="D11" t="n">
        <v>0.718459</v>
      </c>
    </row>
    <row r="12">
      <c r="A12" t="inlineStr">
        <is>
          <t>Sample 9</t>
        </is>
      </c>
      <c r="B12" t="n">
        <v>0.6</v>
      </c>
      <c r="C12" t="n">
        <v>0.645656</v>
      </c>
      <c r="D12" t="n">
        <v>0.437488</v>
      </c>
    </row>
    <row r="13">
      <c r="A13" t="inlineStr">
        <is>
          <t>Sample 10</t>
        </is>
      </c>
      <c r="B13" t="n">
        <v>0</v>
      </c>
      <c r="C13" t="n">
        <v>0.5</v>
      </c>
      <c r="D13" t="n">
        <v>0.693147</v>
      </c>
    </row>
    <row r="14"/>
    <row r="15">
      <c r="A15" t="inlineStr">
        <is>
          <t>Σ(BCE_i)</t>
        </is>
      </c>
      <c r="B15" t="n">
        <v>5.200378</v>
      </c>
    </row>
    <row r="16"/>
    <row r="17">
      <c r="A17" t="inlineStr">
        <is>
          <t>Loss (Average BCE)</t>
        </is>
      </c>
      <c r="B17" t="n">
        <v>0.520038</v>
      </c>
    </row>
    <row r="18"/>
    <row r="19">
      <c r="A19" s="3">
        <f>== Backward ===</f>
        <v/>
      </c>
    </row>
    <row r="20"/>
    <row r="21">
      <c r="A21" t="inlineStr">
        <is>
          <t>n (sample count)</t>
        </is>
      </c>
      <c r="B21" t="n">
        <v>10</v>
      </c>
    </row>
    <row r="22">
      <c r="A22" s="14" t="inlineStr">
        <is>
          <t>∂L/∂Z:</t>
        </is>
      </c>
    </row>
    <row r="23">
      <c r="A23" t="inlineStr">
        <is>
          <t>∂L/∂z_1</t>
        </is>
      </c>
      <c r="B23" t="n">
        <v>-0.047502</v>
      </c>
    </row>
    <row r="24">
      <c r="A24" t="inlineStr">
        <is>
          <t>∂L/∂z_2</t>
        </is>
      </c>
      <c r="B24" t="n">
        <v>0.032082</v>
      </c>
    </row>
    <row r="25">
      <c r="A25" t="inlineStr">
        <is>
          <t>∂L/∂z_3</t>
        </is>
      </c>
      <c r="B25" t="n">
        <v>-0.02227</v>
      </c>
    </row>
    <row r="26">
      <c r="A26" t="inlineStr">
        <is>
          <t>∂L/∂z_4</t>
        </is>
      </c>
      <c r="B26" t="n">
        <v>-0.046879</v>
      </c>
    </row>
    <row r="27">
      <c r="A27" t="inlineStr">
        <is>
          <t>∂L/∂z_5</t>
        </is>
      </c>
      <c r="B27" t="n">
        <v>0.024509</v>
      </c>
    </row>
    <row r="28">
      <c r="A28" t="inlineStr">
        <is>
          <t>∂L/∂z_6</t>
        </is>
      </c>
      <c r="B28" t="n">
        <v>-0.041338</v>
      </c>
    </row>
    <row r="29">
      <c r="A29" t="inlineStr">
        <is>
          <t>∂L/∂z_7</t>
        </is>
      </c>
      <c r="B29" t="n">
        <v>-0.046257</v>
      </c>
    </row>
    <row r="30">
      <c r="A30" t="inlineStr">
        <is>
          <t>∂L/∂z_8</t>
        </is>
      </c>
      <c r="B30" t="n">
        <v>0.05125</v>
      </c>
    </row>
    <row r="31">
      <c r="A31" t="inlineStr">
        <is>
          <t>∂L/∂z_9</t>
        </is>
      </c>
      <c r="B31" t="n">
        <v>-0.035434</v>
      </c>
    </row>
    <row r="32">
      <c r="A32" t="inlineStr">
        <is>
          <t>∂L/∂z_10</t>
        </is>
      </c>
      <c r="B32" t="n">
        <v>0.05</v>
      </c>
    </row>
    <row r="33"/>
    <row r="34">
      <c r="A34" s="14" t="inlineStr">
        <is>
          <t>∂L/∂W:</t>
        </is>
      </c>
    </row>
    <row r="35">
      <c r="A35" t="inlineStr">
        <is>
          <t>∂L/∂w1</t>
        </is>
      </c>
      <c r="B35" t="n">
        <v>-0.110643</v>
      </c>
    </row>
    <row r="36">
      <c r="A36" t="inlineStr">
        <is>
          <t>∂L/∂w2</t>
        </is>
      </c>
      <c r="B36" t="n">
        <v>-0.09471599999999999</v>
      </c>
    </row>
    <row r="37">
      <c r="A37" t="inlineStr">
        <is>
          <t>∂L/∂w3</t>
        </is>
      </c>
      <c r="B37" t="n">
        <v>-0.002387</v>
      </c>
    </row>
    <row r="38">
      <c r="A38" t="inlineStr">
        <is>
          <t>∂L/∂w4</t>
        </is>
      </c>
      <c r="B38" t="n">
        <v>-0.047521</v>
      </c>
    </row>
    <row r="39">
      <c r="A39" t="inlineStr">
        <is>
          <t>∂L/∂w5</t>
        </is>
      </c>
      <c r="B39" t="n">
        <v>0.105043</v>
      </c>
    </row>
    <row r="40">
      <c r="A40" t="inlineStr">
        <is>
          <t>∂L/∂w6</t>
        </is>
      </c>
      <c r="B40" t="n">
        <v>-0.146825</v>
      </c>
    </row>
    <row r="41">
      <c r="A41" t="inlineStr">
        <is>
          <t>∂L/∂w7</t>
        </is>
      </c>
      <c r="B41" t="n">
        <v>0.01748</v>
      </c>
    </row>
    <row r="42">
      <c r="A42" t="inlineStr">
        <is>
          <t>∂L/∂w8</t>
        </is>
      </c>
      <c r="B42" t="n">
        <v>0.087937</v>
      </c>
    </row>
    <row r="43">
      <c r="A43" t="inlineStr">
        <is>
          <t>∂L/∂b</t>
        </is>
      </c>
      <c r="B43" t="n">
        <v>-0.08184</v>
      </c>
    </row>
    <row r="44"/>
    <row r="45">
      <c r="A45" s="3">
        <f>== Updated Weights ===</f>
        <v/>
      </c>
    </row>
    <row r="46">
      <c r="A46" t="inlineStr">
        <is>
          <t>w1_new</t>
        </is>
      </c>
      <c r="B46" t="n">
        <v>0.311064</v>
      </c>
    </row>
    <row r="47">
      <c r="A47" t="inlineStr">
        <is>
          <t>w2_new</t>
        </is>
      </c>
      <c r="B47" t="n">
        <v>0.409472</v>
      </c>
    </row>
    <row r="48">
      <c r="A48" t="inlineStr">
        <is>
          <t>w3_new</t>
        </is>
      </c>
      <c r="B48" t="n">
        <v>-0.199761</v>
      </c>
    </row>
    <row r="49">
      <c r="A49" t="inlineStr">
        <is>
          <t>w4_new</t>
        </is>
      </c>
      <c r="B49" t="n">
        <v>0.504752</v>
      </c>
    </row>
    <row r="50">
      <c r="A50" t="inlineStr">
        <is>
          <t>w5_new</t>
        </is>
      </c>
      <c r="B50" t="n">
        <v>-0.310504</v>
      </c>
    </row>
    <row r="51">
      <c r="A51" t="inlineStr">
        <is>
          <t>w6_new</t>
        </is>
      </c>
      <c r="B51" t="n">
        <v>0.214682</v>
      </c>
    </row>
    <row r="52">
      <c r="A52" t="inlineStr">
        <is>
          <t>w7_new</t>
        </is>
      </c>
      <c r="B52" t="n">
        <v>0.348252</v>
      </c>
    </row>
    <row r="53">
      <c r="A53" t="inlineStr">
        <is>
          <t>w8_new</t>
        </is>
      </c>
      <c r="B53" t="n">
        <v>-0.258794</v>
      </c>
    </row>
    <row r="54">
      <c r="A54" t="inlineStr">
        <is>
          <t>b_new</t>
        </is>
      </c>
      <c r="B54" t="n">
        <v>-0.491816</v>
      </c>
    </row>
    <row r="55"/>
    <row r="56">
      <c r="A56" t="inlineStr">
        <is>
          <t>Loss after update</t>
        </is>
      </c>
      <c r="B56" t="n">
        <v>0.513049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2026-01-20T06:51:47Z</dcterms:created>
  <dcterms:modified xmlns:dcterms="http://purl.org/dc/terms/" xmlns:xsi="http://www.w3.org/2001/XMLSchema-instance" xsi:type="dcterms:W3CDTF">2026-01-20T08:28:59Z</dcterms:modified>
</cp:coreProperties>
</file>