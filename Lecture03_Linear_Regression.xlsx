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rward_Propagation" sheetId="2" state="visible" r:id="rId2"/>
    <sheet xmlns:r="http://schemas.openxmlformats.org/officeDocument/2006/relationships" name="Backward_Propagation" sheetId="3" state="visible" r:id="rId3"/>
    <sheet xmlns:r="http://schemas.openxmlformats.org/officeDocument/2006/relationships" name="Answer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  <b val="1"/>
      <sz val="13"/>
    </font>
    <font>
      <name val="Cambria Math"/>
      <sz val="11"/>
    </font>
    <font>
      <b val="1"/>
    </font>
    <font>
      <name val="Consolas"/>
      <sz val="10"/>
    </font>
    <font>
      <name val="맑은 고딕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10" borderId="0" pivotButton="0" quotePrefix="0" xfId="0"/>
    <xf numFmtId="0" fontId="7" fillId="11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6" borderId="2" applyAlignment="1" pivotButton="0" quotePrefix="0" xfId="0">
      <alignment horizontal="center" vertical="center"/>
    </xf>
    <xf numFmtId="0" fontId="7" fillId="11" borderId="0" pivotButton="0" quotePrefix="0" xfId="0"/>
    <xf numFmtId="0" fontId="0" fillId="4" borderId="0" pivotButton="0" quotePrefix="0" xfId="0"/>
    <xf numFmtId="0" fontId="0" fillId="6" borderId="2" pivotButton="0" quotePrefix="0" xfId="0"/>
    <xf numFmtId="0" fontId="0" fillId="9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5" fillId="7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Linear Regression Matrix Operations Practice Worksheet</t>
        </is>
      </c>
    </row>
    <row r="2"/>
    <row r="3">
      <c r="A3" s="2">
        <f>=====================================================================</f>
        <v/>
      </c>
    </row>
    <row r="4"/>
    <row r="5">
      <c r="A5" s="3" t="inlineStr">
        <is>
          <t>[Learning Objectives]</t>
        </is>
      </c>
    </row>
    <row r="6">
      <c r="A6" s="2" t="inlineStr">
        <is>
          <t>1. Understand linear regression using matrix form input data and weights</t>
        </is>
      </c>
    </row>
    <row r="7">
      <c r="A7" s="2" t="inlineStr">
        <is>
          <t>2. Calculate forward propagation through Matrix Multiplication</t>
        </is>
      </c>
    </row>
    <row r="8">
      <c r="A8" s="2" t="inlineStr">
        <is>
          <t>3. Calculate MSE loss function gradient (matrix differentiation)</t>
        </is>
      </c>
    </row>
    <row r="9">
      <c r="A9" s="2" t="inlineStr">
        <is>
          <t>4. Update weight matrix through backpropagation</t>
        </is>
      </c>
    </row>
    <row r="10"/>
    <row r="11">
      <c r="A11" s="3" t="inlineStr">
        <is>
          <t>[Network Structure]</t>
        </is>
      </c>
    </row>
    <row r="12">
      <c r="A12" s="2" t="inlineStr">
        <is>
          <t>• Input matrix X: 10 samples × 8 features (10×8 matrix)</t>
        </is>
      </c>
    </row>
    <row r="13">
      <c r="A13" s="2" t="inlineStr">
        <is>
          <t>• Weight matrix W: 8 features × 1 output (8×1 vector)</t>
        </is>
      </c>
    </row>
    <row r="14">
      <c r="A14" s="2" t="inlineStr">
        <is>
          <t>• Bias b: Scalar (applied equally to all samples)</t>
        </is>
      </c>
    </row>
    <row r="15">
      <c r="A15" s="2" t="inlineStr">
        <is>
          <t>• Output Y_pred: 10 samples × 1 output (10×1 vector)</t>
        </is>
      </c>
    </row>
    <row r="16">
      <c r="A16" s="2" t="inlineStr">
        <is>
          <t>• Loss function: MSE (Mean Squared Error)</t>
        </is>
      </c>
    </row>
    <row r="17"/>
    <row r="18">
      <c r="A18" s="3" t="inlineStr">
        <is>
          <t>[Mathematical Expression]</t>
        </is>
      </c>
    </row>
    <row r="19">
      <c r="A19" s="4" t="inlineStr">
        <is>
          <t>Forward:    Y_pred = X · W + b     (Matrix multiplication + broadcasting)</t>
        </is>
      </c>
    </row>
    <row r="20">
      <c r="A20" s="4" t="inlineStr">
        <is>
          <t>Loss:       L = (1/2n) × Σ(y_pred - y_true)²</t>
        </is>
      </c>
    </row>
    <row r="21">
      <c r="A21" s="4" t="inlineStr">
        <is>
          <t>Gradient:   ∂L/∂W = (1/n) × X^T · (Y_pred - Y_true)</t>
        </is>
      </c>
    </row>
    <row r="22">
      <c r="A22" s="4" t="inlineStr">
        <is>
          <t xml:space="preserve">            ∂L/∂b = (1/n) × Σ(y_pred - y_true)</t>
        </is>
      </c>
    </row>
    <row r="23">
      <c r="A23" s="4" t="inlineStr">
        <is>
          <t>Update:     W_new = W - lr × ∂L/∂W</t>
        </is>
      </c>
    </row>
    <row r="24">
      <c r="A24" s="4" t="inlineStr">
        <is>
          <t xml:space="preserve">            b_new = b - lr × ∂L/∂b</t>
        </is>
      </c>
    </row>
    <row r="25"/>
    <row r="26">
      <c r="A26" s="3" t="inlineStr">
        <is>
          <t>[Color Legend]</t>
        </is>
      </c>
    </row>
    <row r="27">
      <c r="A27" s="2" t="inlineStr">
        <is>
          <t xml:space="preserve">  ■ Input matrix (X)</t>
        </is>
      </c>
      <c r="B27" s="5" t="n"/>
    </row>
    <row r="28">
      <c r="A28" s="2" t="inlineStr">
        <is>
          <t xml:space="preserve">  ■ Weight (W)</t>
        </is>
      </c>
      <c r="B28" s="6" t="n"/>
    </row>
    <row r="29">
      <c r="A29" s="2" t="inlineStr">
        <is>
          <t xml:space="preserve">  ■ Output/Prediction (Y_pred)</t>
        </is>
      </c>
      <c r="B29" s="7" t="n"/>
    </row>
    <row r="30">
      <c r="A30" s="2" t="inlineStr">
        <is>
          <t xml:space="preserve">  ■ Gradient</t>
        </is>
      </c>
      <c r="B30" s="8" t="n"/>
    </row>
    <row r="31">
      <c r="A31" s="2" t="inlineStr">
        <is>
          <t xml:space="preserve">  ■ Student input cell</t>
        </is>
      </c>
      <c r="B31" s="9" t="n"/>
    </row>
    <row r="32">
      <c r="A32" s="2" t="inlineStr">
        <is>
          <t xml:space="preserve">  ■ Answer</t>
        </is>
      </c>
      <c r="B32" s="10" t="n"/>
    </row>
    <row r="33">
      <c r="A33" s="2" t="inlineStr">
        <is>
          <t xml:space="preserve">  ■ Wrong</t>
        </is>
      </c>
      <c r="B33" s="11" t="n"/>
    </row>
    <row r="34"/>
    <row r="35">
      <c r="A35" s="3" t="inlineStr">
        <is>
          <t>[How to Use]</t>
        </is>
      </c>
    </row>
    <row r="36">
      <c r="A36" s="2" t="inlineStr">
        <is>
          <t>1. Enter calculation results in yellow cells in Forward_Propagation sheet</t>
        </is>
      </c>
    </row>
    <row r="37">
      <c r="A37" s="2" t="inlineStr">
        <is>
          <t>2. Check ✓(correct) or ✗(wrong) in verification cells</t>
        </is>
      </c>
    </row>
    <row r="38">
      <c r="A38" s="2" t="inlineStr">
        <is>
          <t>3. Tolerance: 0.0001 (up to 4 decimal places)</t>
        </is>
      </c>
    </row>
    <row r="39">
      <c r="A39" s="2" t="inlineStr">
        <is>
          <t>4. Hint: Matrix multiplication is calculated in 'row × column'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4" customWidth="1" min="12" max="12"/>
    <col width="8" customWidth="1" min="13" max="13"/>
    <col width="4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Forward Propagation - Matrix Operations</t>
        </is>
      </c>
    </row>
    <row r="2"/>
    <row r="3">
      <c r="A3" s="12" t="inlineStr">
        <is>
          <t>Progress:</t>
        </is>
      </c>
      <c r="B3">
        <f>COUNTIF(Q:Q,"✓")/12*100&amp;"%"</f>
        <v/>
      </c>
    </row>
    <row r="4"/>
    <row r="5">
      <c r="A5" s="3">
        <f>== Input Matrix X (10×8) ===</f>
        <v/>
      </c>
      <c r="L5" s="3">
        <f>== Weight W (8×1) ===</f>
        <v/>
      </c>
      <c r="O5" s="3">
        <f>== Ground Truth Y_true ===</f>
        <v/>
      </c>
    </row>
    <row r="6">
      <c r="A6" s="12" t="inlineStr">
        <is>
          <t>Sample</t>
        </is>
      </c>
      <c r="B6" s="13" t="inlineStr">
        <is>
          <t>x1</t>
        </is>
      </c>
      <c r="C6" s="13" t="inlineStr">
        <is>
          <t>x2</t>
        </is>
      </c>
      <c r="D6" s="13" t="inlineStr">
        <is>
          <t>x3</t>
        </is>
      </c>
      <c r="E6" s="13" t="inlineStr">
        <is>
          <t>x4</t>
        </is>
      </c>
      <c r="F6" s="13" t="inlineStr">
        <is>
          <t>x5</t>
        </is>
      </c>
      <c r="G6" s="13" t="inlineStr">
        <is>
          <t>x6</t>
        </is>
      </c>
      <c r="H6" s="13" t="inlineStr">
        <is>
          <t>x7</t>
        </is>
      </c>
      <c r="I6" s="13" t="inlineStr">
        <is>
          <t>x8</t>
        </is>
      </c>
    </row>
    <row r="7">
      <c r="A7" s="12" t="inlineStr">
        <is>
          <t>s1</t>
        </is>
      </c>
      <c r="B7" s="14" t="n">
        <v>1</v>
      </c>
      <c r="C7" s="14" t="n">
        <v>2</v>
      </c>
      <c r="D7" s="14" t="n">
        <v>0</v>
      </c>
      <c r="E7" s="14" t="n">
        <v>-1</v>
      </c>
      <c r="F7" s="14" t="n">
        <v>1</v>
      </c>
      <c r="G7" s="14" t="n">
        <v>0</v>
      </c>
      <c r="H7" s="14" t="n">
        <v>0.5</v>
      </c>
      <c r="I7" s="14" t="n">
        <v>-0.5</v>
      </c>
      <c r="L7" s="12" t="inlineStr">
        <is>
          <t>w1</t>
        </is>
      </c>
      <c r="M7" s="15" t="n">
        <v>0.2</v>
      </c>
      <c r="O7" s="12" t="inlineStr">
        <is>
          <t>y1</t>
        </is>
      </c>
      <c r="P7" s="16" t="n">
        <v>2</v>
      </c>
    </row>
    <row r="8">
      <c r="A8" s="12" t="inlineStr">
        <is>
          <t>s2</t>
        </is>
      </c>
      <c r="B8" s="14" t="n">
        <v>0.5</v>
      </c>
      <c r="C8" s="14" t="n">
        <v>1</v>
      </c>
      <c r="D8" s="14" t="n">
        <v>1</v>
      </c>
      <c r="E8" s="14" t="n">
        <v>0</v>
      </c>
      <c r="F8" s="14" t="n">
        <v>0.5</v>
      </c>
      <c r="G8" s="14" t="n">
        <v>-1</v>
      </c>
      <c r="H8" s="14" t="n">
        <v>0</v>
      </c>
      <c r="I8" s="14" t="n">
        <v>1</v>
      </c>
      <c r="L8" s="12" t="inlineStr">
        <is>
          <t>w2</t>
        </is>
      </c>
      <c r="M8" s="15" t="n">
        <v>0.3</v>
      </c>
      <c r="O8" s="12" t="inlineStr">
        <is>
          <t>y2</t>
        </is>
      </c>
      <c r="P8" s="16" t="n">
        <v>1.5</v>
      </c>
    </row>
    <row r="9">
      <c r="A9" s="12" t="inlineStr">
        <is>
          <t>s3</t>
        </is>
      </c>
      <c r="B9" s="14" t="n">
        <v>2</v>
      </c>
      <c r="C9" s="14" t="n">
        <v>0</v>
      </c>
      <c r="D9" s="14" t="n">
        <v>-1</v>
      </c>
      <c r="E9" s="14" t="n">
        <v>1</v>
      </c>
      <c r="F9" s="14" t="n">
        <v>0</v>
      </c>
      <c r="G9" s="14" t="n">
        <v>0.5</v>
      </c>
      <c r="H9" s="14" t="n">
        <v>1</v>
      </c>
      <c r="I9" s="14" t="n">
        <v>0</v>
      </c>
      <c r="L9" s="12" t="inlineStr">
        <is>
          <t>w3</t>
        </is>
      </c>
      <c r="M9" s="15" t="n">
        <v>-0.1</v>
      </c>
      <c r="O9" s="12" t="inlineStr">
        <is>
          <t>y3</t>
        </is>
      </c>
      <c r="P9" s="16" t="n">
        <v>1</v>
      </c>
    </row>
    <row r="10">
      <c r="A10" s="12" t="inlineStr">
        <is>
          <t>s4</t>
        </is>
      </c>
      <c r="B10" s="14" t="n">
        <v>0</v>
      </c>
      <c r="C10" s="14" t="n">
        <v>1.5</v>
      </c>
      <c r="D10" s="14" t="n">
        <v>0.5</v>
      </c>
      <c r="E10" s="14" t="n">
        <v>0.5</v>
      </c>
      <c r="F10" s="14" t="n">
        <v>-0.5</v>
      </c>
      <c r="G10" s="14" t="n">
        <v>1</v>
      </c>
      <c r="H10" s="14" t="n">
        <v>-1</v>
      </c>
      <c r="I10" s="14" t="n">
        <v>0.5</v>
      </c>
      <c r="L10" s="12" t="inlineStr">
        <is>
          <t>w4</t>
        </is>
      </c>
      <c r="M10" s="15" t="n">
        <v>0.4</v>
      </c>
      <c r="O10" s="12" t="inlineStr">
        <is>
          <t>y4</t>
        </is>
      </c>
      <c r="P10" s="16" t="n">
        <v>2.5</v>
      </c>
    </row>
    <row r="11">
      <c r="A11" s="12" t="inlineStr">
        <is>
          <t>s5</t>
        </is>
      </c>
      <c r="B11" s="14" t="n">
        <v>1</v>
      </c>
      <c r="C11" s="14" t="n">
        <v>-1</v>
      </c>
      <c r="D11" s="14" t="n">
        <v>2</v>
      </c>
      <c r="E11" s="14" t="n">
        <v>0</v>
      </c>
      <c r="F11" s="14" t="n">
        <v>1</v>
      </c>
      <c r="G11" s="14" t="n">
        <v>0</v>
      </c>
      <c r="H11" s="14" t="n">
        <v>0.5</v>
      </c>
      <c r="I11" s="14" t="n">
        <v>0</v>
      </c>
      <c r="L11" s="12" t="inlineStr">
        <is>
          <t>w5</t>
        </is>
      </c>
      <c r="M11" s="15" t="n">
        <v>-0.2</v>
      </c>
      <c r="O11" s="12" t="inlineStr">
        <is>
          <t>y5</t>
        </is>
      </c>
      <c r="P11" s="16" t="n">
        <v>1.8</v>
      </c>
    </row>
    <row r="12">
      <c r="A12" s="12" t="inlineStr">
        <is>
          <t>s6</t>
        </is>
      </c>
      <c r="B12" s="14" t="n">
        <v>-0.5</v>
      </c>
      <c r="C12" s="14" t="n">
        <v>1</v>
      </c>
      <c r="D12" s="14" t="n">
        <v>0</v>
      </c>
      <c r="E12" s="14" t="n">
        <v>1.5</v>
      </c>
      <c r="F12" s="14" t="n">
        <v>0</v>
      </c>
      <c r="G12" s="14" t="n">
        <v>0.5</v>
      </c>
      <c r="H12" s="14" t="n">
        <v>0</v>
      </c>
      <c r="I12" s="14" t="n">
        <v>1</v>
      </c>
      <c r="L12" s="12" t="inlineStr">
        <is>
          <t>w6</t>
        </is>
      </c>
      <c r="M12" s="15" t="n">
        <v>0.1</v>
      </c>
      <c r="O12" s="12" t="inlineStr">
        <is>
          <t>y6</t>
        </is>
      </c>
      <c r="P12" s="16" t="n">
        <v>2.2</v>
      </c>
    </row>
    <row r="13">
      <c r="A13" s="12" t="inlineStr">
        <is>
          <t>s7</t>
        </is>
      </c>
      <c r="B13" s="14" t="n">
        <v>1.5</v>
      </c>
      <c r="C13" s="14" t="n">
        <v>0.5</v>
      </c>
      <c r="D13" s="14" t="n">
        <v>1</v>
      </c>
      <c r="E13" s="14" t="n">
        <v>-0.5</v>
      </c>
      <c r="F13" s="14" t="n">
        <v>0.5</v>
      </c>
      <c r="G13" s="14" t="n">
        <v>0</v>
      </c>
      <c r="H13" s="14" t="n">
        <v>1</v>
      </c>
      <c r="I13" s="14" t="n">
        <v>-1</v>
      </c>
      <c r="L13" s="12" t="inlineStr">
        <is>
          <t>w7</t>
        </is>
      </c>
      <c r="M13" s="15" t="n">
        <v>0.25</v>
      </c>
      <c r="O13" s="12" t="inlineStr">
        <is>
          <t>y7</t>
        </is>
      </c>
      <c r="P13" s="16" t="n">
        <v>1.2</v>
      </c>
    </row>
    <row r="14">
      <c r="A14" s="12" t="inlineStr">
        <is>
          <t>s8</t>
        </is>
      </c>
      <c r="B14" s="14" t="n">
        <v>0</v>
      </c>
      <c r="C14" s="14" t="n">
        <v>2</v>
      </c>
      <c r="D14" s="14" t="n">
        <v>-0.5</v>
      </c>
      <c r="E14" s="14" t="n">
        <v>0</v>
      </c>
      <c r="F14" s="14" t="n">
        <v>1</v>
      </c>
      <c r="G14" s="14" t="n">
        <v>-0.5</v>
      </c>
      <c r="H14" s="14" t="n">
        <v>0.5</v>
      </c>
      <c r="I14" s="14" t="n">
        <v>0.5</v>
      </c>
      <c r="L14" s="12" t="inlineStr">
        <is>
          <t>w8</t>
        </is>
      </c>
      <c r="M14" s="15" t="n">
        <v>-0.15</v>
      </c>
      <c r="O14" s="12" t="inlineStr">
        <is>
          <t>y8</t>
        </is>
      </c>
      <c r="P14" s="16" t="n">
        <v>1.7</v>
      </c>
    </row>
    <row r="15">
      <c r="A15" s="12" t="inlineStr">
        <is>
          <t>s9</t>
        </is>
      </c>
      <c r="B15" s="14" t="n">
        <v>1</v>
      </c>
      <c r="C15" s="14" t="n">
        <v>0</v>
      </c>
      <c r="D15" s="14" t="n">
        <v>1</v>
      </c>
      <c r="E15" s="14" t="n">
        <v>1</v>
      </c>
      <c r="F15" s="14" t="n">
        <v>-1</v>
      </c>
      <c r="G15" s="14" t="n">
        <v>1</v>
      </c>
      <c r="H15" s="14" t="n">
        <v>0</v>
      </c>
      <c r="I15" s="14" t="n">
        <v>0</v>
      </c>
      <c r="O15" s="12" t="inlineStr">
        <is>
          <t>y9</t>
        </is>
      </c>
      <c r="P15" s="16" t="n">
        <v>1.4</v>
      </c>
    </row>
    <row r="16">
      <c r="A16" s="12" t="inlineStr">
        <is>
          <t>s10</t>
        </is>
      </c>
      <c r="B16" s="14" t="n">
        <v>0.5</v>
      </c>
      <c r="C16" s="14" t="n">
        <v>0.5</v>
      </c>
      <c r="D16" s="14" t="n">
        <v>0.5</v>
      </c>
      <c r="E16" s="14" t="n">
        <v>0.5</v>
      </c>
      <c r="F16" s="14" t="n">
        <v>0.5</v>
      </c>
      <c r="G16" s="14" t="n">
        <v>0.5</v>
      </c>
      <c r="H16" s="14" t="n">
        <v>0.5</v>
      </c>
      <c r="I16" s="14" t="n">
        <v>0.5</v>
      </c>
      <c r="L16" s="12" t="inlineStr">
        <is>
          <t>b</t>
        </is>
      </c>
      <c r="M16" s="17" t="n">
        <v>0.5</v>
      </c>
      <c r="O16" s="12" t="inlineStr">
        <is>
          <t>y10</t>
        </is>
      </c>
      <c r="P16" s="16" t="n">
        <v>2</v>
      </c>
    </row>
    <row r="17"/>
    <row r="18"/>
    <row r="19"/>
    <row r="20">
      <c r="A20" s="3">
        <f>== Step 1: Matrix Multiplication (X · W) - Calculation per Sample ===</f>
        <v/>
      </c>
    </row>
    <row r="21">
      <c r="A21" s="18" t="inlineStr">
        <is>
          <t>Formula: z_i = x_i1×w1 + x_i2×w2 + ... + x_i8×w8</t>
        </is>
      </c>
    </row>
    <row r="22"/>
    <row r="23">
      <c r="A23" s="19" t="inlineStr">
        <is>
          <t>Sample</t>
        </is>
      </c>
      <c r="B23" s="19" t="inlineStr">
        <is>
          <t>Formula (product of each term)</t>
        </is>
      </c>
      <c r="J23" s="19" t="inlineStr">
        <is>
          <t>Total (z)</t>
        </is>
      </c>
      <c r="K23" s="19" t="inlineStr">
        <is>
          <t>Student input</t>
        </is>
      </c>
      <c r="L23" s="19" t="inlineStr">
        <is>
          <t>Verification</t>
        </is>
      </c>
    </row>
    <row r="24">
      <c r="A24" s="12" t="inlineStr">
        <is>
          <t>s1</t>
        </is>
      </c>
      <c r="B24" s="20" t="inlineStr">
        <is>
          <t>1.0×0.20 + 2.0×0.30 + 0.0×-0.10 + -1.0×0.40 + ...</t>
        </is>
      </c>
      <c r="J24" s="20" t="n">
        <v>0.9</v>
      </c>
      <c r="K24" s="21" t="n"/>
      <c r="L24">
        <f>IF(ABS(K24-Answer_Key!C3)&lt;0.0001,"✓","✗")</f>
        <v/>
      </c>
    </row>
    <row r="25">
      <c r="A25" s="12" t="inlineStr">
        <is>
          <t>s2</t>
        </is>
      </c>
      <c r="B25" s="20" t="inlineStr">
        <is>
          <t>0.5×0.20 + 1.0×0.30 + 1.0×-0.10 + 0.0×0.40 + ...</t>
        </is>
      </c>
      <c r="J25" s="20" t="n">
        <v>0.45</v>
      </c>
      <c r="K25" s="21" t="n"/>
      <c r="L25">
        <f>IF(ABS(K25-Answer_Key!C4)&lt;0.0001,"✓","✗")</f>
        <v/>
      </c>
    </row>
    <row r="26">
      <c r="A26" s="12" t="inlineStr">
        <is>
          <t>s3</t>
        </is>
      </c>
      <c r="B26" s="20" t="inlineStr">
        <is>
          <t>2.0×0.20 + 0.0×0.30 + -1.0×-0.10 + 1.0×0.40 + ...</t>
        </is>
      </c>
      <c r="J26" s="20" t="n">
        <v>1.7</v>
      </c>
      <c r="K26" s="21" t="n"/>
      <c r="L26">
        <f>IF(ABS(K26-Answer_Key!C5)&lt;0.0001,"✓","✗")</f>
        <v/>
      </c>
    </row>
    <row r="27">
      <c r="A27" s="12" t="inlineStr">
        <is>
          <t>s4</t>
        </is>
      </c>
      <c r="B27" s="20" t="inlineStr">
        <is>
          <t>0.0×0.20 + 1.5×0.30 + 0.5×-0.10 + 0.5×0.40 + ...</t>
        </is>
      </c>
      <c r="J27" s="20" t="n">
        <v>0.975</v>
      </c>
      <c r="K27" s="21" t="n"/>
      <c r="L27">
        <f>IF(ABS(K27-Answer_Key!C6)&lt;0.0001,"✓","✗")</f>
        <v/>
      </c>
    </row>
    <row r="28">
      <c r="A28" s="12" t="inlineStr">
        <is>
          <t>s5</t>
        </is>
      </c>
      <c r="B28" s="20" t="inlineStr">
        <is>
          <t>1.0×0.20 + -1.0×0.30 + 2.0×-0.10 + 0.0×0.40 + ...</t>
        </is>
      </c>
      <c r="J28" s="20" t="n">
        <v>0.125</v>
      </c>
      <c r="K28" s="21" t="n"/>
      <c r="L28">
        <f>IF(ABS(K28-Answer_Key!C7)&lt;0.0001,"✓","✗")</f>
        <v/>
      </c>
    </row>
    <row r="29">
      <c r="A29" s="12" t="inlineStr">
        <is>
          <t>s6</t>
        </is>
      </c>
      <c r="B29" s="20" t="inlineStr">
        <is>
          <t>-0.5×0.20 + 1.0×0.30 + 0.0×-0.10 + 1.5×0.40 + ...</t>
        </is>
      </c>
      <c r="J29" s="20" t="n">
        <v>1.2</v>
      </c>
      <c r="K29" s="21" t="n"/>
      <c r="L29">
        <f>IF(ABS(K29-Answer_Key!C8)&lt;0.0001,"✓","✗")</f>
        <v/>
      </c>
    </row>
    <row r="30">
      <c r="A30" s="12" t="inlineStr">
        <is>
          <t>s7</t>
        </is>
      </c>
      <c r="B30" s="20" t="inlineStr">
        <is>
          <t>1.5×0.20 + 0.5×0.30 + 1.0×-0.10 + -0.5×0.40 + ...</t>
        </is>
      </c>
      <c r="J30" s="20" t="n">
        <v>0.95</v>
      </c>
      <c r="K30" s="21" t="n"/>
      <c r="L30">
        <f>IF(ABS(K30-Answer_Key!C9)&lt;0.0001,"✓","✗")</f>
        <v/>
      </c>
    </row>
    <row r="31">
      <c r="A31" s="12" t="inlineStr">
        <is>
          <t>s8</t>
        </is>
      </c>
      <c r="B31" s="20" t="inlineStr">
        <is>
          <t>0.0×0.20 + 2.0×0.30 + -0.5×-0.10 + 0.0×0.40 + ...</t>
        </is>
      </c>
      <c r="J31" s="20" t="n">
        <v>0.95</v>
      </c>
      <c r="K31" s="21" t="n"/>
      <c r="L31">
        <f>IF(ABS(K31-Answer_Key!C10)&lt;0.0001,"✓","✗")</f>
        <v/>
      </c>
    </row>
    <row r="32">
      <c r="A32" s="12" t="inlineStr">
        <is>
          <t>s9</t>
        </is>
      </c>
      <c r="B32" s="20" t="inlineStr">
        <is>
          <t>1.0×0.20 + 0.0×0.30 + 1.0×-0.10 + 1.0×0.40 + ...</t>
        </is>
      </c>
      <c r="J32" s="20" t="n">
        <v>1.3</v>
      </c>
      <c r="K32" s="21" t="n"/>
      <c r="L32">
        <f>IF(ABS(K32-Answer_Key!C11)&lt;0.0001,"✓","✗")</f>
        <v/>
      </c>
    </row>
    <row r="33">
      <c r="A33" s="12" t="inlineStr">
        <is>
          <t>s10</t>
        </is>
      </c>
      <c r="B33" s="20" t="inlineStr">
        <is>
          <t>0.5×0.20 + 0.5×0.30 + 0.5×-0.10 + 0.5×0.40 + ...</t>
        </is>
      </c>
      <c r="J33" s="20" t="n">
        <v>0.9</v>
      </c>
      <c r="K33" s="21" t="n"/>
      <c r="L33">
        <f>IF(ABS(K33-Answer_Key!C12)&lt;0.0001,"✓","✗")</f>
        <v/>
      </c>
    </row>
    <row r="34"/>
    <row r="35"/>
    <row r="36">
      <c r="A36" s="3">
        <f>== Step 2: Add Bias (z + b) → Y_pred ===</f>
        <v/>
      </c>
    </row>
    <row r="37">
      <c r="A37" s="18" t="inlineStr">
        <is>
          <t>Formula: y_pred_i = z_i + b (b = 0.5)</t>
        </is>
      </c>
    </row>
    <row r="38"/>
    <row r="39">
      <c r="A39" s="22" t="inlineStr">
        <is>
          <t>Sample</t>
        </is>
      </c>
      <c r="B39" s="22" t="inlineStr">
        <is>
          <t>z_i</t>
        </is>
      </c>
      <c r="C39" s="22" t="inlineStr">
        <is>
          <t>+ b</t>
        </is>
      </c>
      <c r="D39" s="22" t="inlineStr">
        <is>
          <t>y_pred</t>
        </is>
      </c>
      <c r="E39" s="22" t="inlineStr">
        <is>
          <t>Student input</t>
        </is>
      </c>
      <c r="F39" s="22" t="inlineStr">
        <is>
          <t>Verification</t>
        </is>
      </c>
    </row>
    <row r="40">
      <c r="A40" s="12" t="inlineStr">
        <is>
          <t>s1</t>
        </is>
      </c>
      <c r="B40" s="20" t="n">
        <v>0.9</v>
      </c>
      <c r="C40" s="20" t="inlineStr">
        <is>
          <t>+ 0.5</t>
        </is>
      </c>
      <c r="D40" s="23" t="n">
        <v>0.9</v>
      </c>
      <c r="E40" s="24" t="n"/>
      <c r="F40">
        <f>IF(ABS(E40-Answer_Key!D3)&lt;0.0001,"✓","✗")</f>
        <v/>
      </c>
    </row>
    <row r="41">
      <c r="A41" s="12" t="inlineStr">
        <is>
          <t>s2</t>
        </is>
      </c>
      <c r="B41" s="20" t="n">
        <v>0.45</v>
      </c>
      <c r="C41" s="20" t="inlineStr">
        <is>
          <t>+ 0.5</t>
        </is>
      </c>
      <c r="D41" s="23" t="n">
        <v>0.45</v>
      </c>
      <c r="E41" s="24" t="n"/>
      <c r="F41">
        <f>IF(ABS(E41-Answer_Key!D4)&lt;0.0001,"✓","✗")</f>
        <v/>
      </c>
    </row>
    <row r="42">
      <c r="A42" s="12" t="inlineStr">
        <is>
          <t>s3</t>
        </is>
      </c>
      <c r="B42" s="20" t="n">
        <v>1.7</v>
      </c>
      <c r="C42" s="20" t="inlineStr">
        <is>
          <t>+ 0.5</t>
        </is>
      </c>
      <c r="D42" s="23" t="n">
        <v>1.7</v>
      </c>
      <c r="E42" s="24" t="n"/>
      <c r="F42">
        <f>IF(ABS(E42-Answer_Key!D5)&lt;0.0001,"✓","✗")</f>
        <v/>
      </c>
    </row>
    <row r="43">
      <c r="A43" s="12" t="inlineStr">
        <is>
          <t>s4</t>
        </is>
      </c>
      <c r="B43" s="20" t="n">
        <v>0.975</v>
      </c>
      <c r="C43" s="20" t="inlineStr">
        <is>
          <t>+ 0.5</t>
        </is>
      </c>
      <c r="D43" s="23" t="n">
        <v>0.975</v>
      </c>
      <c r="E43" s="24" t="n"/>
      <c r="F43">
        <f>IF(ABS(E43-Answer_Key!D6)&lt;0.0001,"✓","✗")</f>
        <v/>
      </c>
    </row>
    <row r="44">
      <c r="A44" s="12" t="inlineStr">
        <is>
          <t>s5</t>
        </is>
      </c>
      <c r="B44" s="20" t="n">
        <v>0.125</v>
      </c>
      <c r="C44" s="20" t="inlineStr">
        <is>
          <t>+ 0.5</t>
        </is>
      </c>
      <c r="D44" s="23" t="n">
        <v>0.125</v>
      </c>
      <c r="E44" s="24" t="n"/>
      <c r="F44">
        <f>IF(ABS(E44-Answer_Key!D7)&lt;0.0001,"✓","✗")</f>
        <v/>
      </c>
    </row>
    <row r="45">
      <c r="A45" s="12" t="inlineStr">
        <is>
          <t>s6</t>
        </is>
      </c>
      <c r="B45" s="20" t="n">
        <v>1.2</v>
      </c>
      <c r="C45" s="20" t="inlineStr">
        <is>
          <t>+ 0.5</t>
        </is>
      </c>
      <c r="D45" s="23" t="n">
        <v>1.2</v>
      </c>
      <c r="E45" s="24" t="n"/>
      <c r="F45">
        <f>IF(ABS(E45-Answer_Key!D8)&lt;0.0001,"✓","✗")</f>
        <v/>
      </c>
    </row>
    <row r="46">
      <c r="A46" s="12" t="inlineStr">
        <is>
          <t>s7</t>
        </is>
      </c>
      <c r="B46" s="20" t="n">
        <v>0.95</v>
      </c>
      <c r="C46" s="20" t="inlineStr">
        <is>
          <t>+ 0.5</t>
        </is>
      </c>
      <c r="D46" s="23" t="n">
        <v>0.95</v>
      </c>
      <c r="E46" s="24" t="n"/>
      <c r="F46">
        <f>IF(ABS(E46-Answer_Key!D9)&lt;0.0001,"✓","✗")</f>
        <v/>
      </c>
    </row>
    <row r="47">
      <c r="A47" s="12" t="inlineStr">
        <is>
          <t>s8</t>
        </is>
      </c>
      <c r="B47" s="20" t="n">
        <v>0.95</v>
      </c>
      <c r="C47" s="20" t="inlineStr">
        <is>
          <t>+ 0.5</t>
        </is>
      </c>
      <c r="D47" s="23" t="n">
        <v>0.95</v>
      </c>
      <c r="E47" s="24" t="n"/>
      <c r="F47">
        <f>IF(ABS(E47-Answer_Key!D10)&lt;0.0001,"✓","✗")</f>
        <v/>
      </c>
    </row>
    <row r="48">
      <c r="A48" s="12" t="inlineStr">
        <is>
          <t>s9</t>
        </is>
      </c>
      <c r="B48" s="20" t="n">
        <v>1.3</v>
      </c>
      <c r="C48" s="20" t="inlineStr">
        <is>
          <t>+ 0.5</t>
        </is>
      </c>
      <c r="D48" s="23" t="n">
        <v>1.3</v>
      </c>
      <c r="E48" s="24" t="n"/>
      <c r="F48">
        <f>IF(ABS(E48-Answer_Key!D11)&lt;0.0001,"✓","✗")</f>
        <v/>
      </c>
    </row>
    <row r="49">
      <c r="A49" s="12" t="inlineStr">
        <is>
          <t>s10</t>
        </is>
      </c>
      <c r="B49" s="20" t="n">
        <v>0.9</v>
      </c>
      <c r="C49" s="20" t="inlineStr">
        <is>
          <t>+ 0.5</t>
        </is>
      </c>
      <c r="D49" s="23" t="n">
        <v>0.9</v>
      </c>
      <c r="E49" s="24" t="n"/>
      <c r="F49">
        <f>IF(ABS(E49-Answer_Key!D12)&lt;0.0001,"✓","✗")</f>
        <v/>
      </c>
    </row>
    <row r="50"/>
    <row r="51"/>
    <row r="52">
      <c r="A52" s="3">
        <f>== Step 3: Error Calculation (error = y_pred - y_true) ===</f>
        <v/>
      </c>
    </row>
    <row r="53"/>
    <row r="54">
      <c r="A54" s="22" t="inlineStr">
        <is>
          <t>Sample</t>
        </is>
      </c>
      <c r="B54" s="22" t="inlineStr">
        <is>
          <t>y_pred</t>
        </is>
      </c>
      <c r="C54" s="22" t="inlineStr">
        <is>
          <t>y_true</t>
        </is>
      </c>
      <c r="D54" s="22" t="inlineStr">
        <is>
          <t>error</t>
        </is>
      </c>
      <c r="E54" s="22" t="inlineStr">
        <is>
          <t>error²</t>
        </is>
      </c>
    </row>
    <row r="55">
      <c r="A55" s="12" t="inlineStr">
        <is>
          <t>s1</t>
        </is>
      </c>
      <c r="B55" s="23" t="n">
        <v>0.9</v>
      </c>
      <c r="C55" s="25" t="n">
        <v>2</v>
      </c>
      <c r="D55" s="26" t="n">
        <v>-1.1</v>
      </c>
      <c r="E55" s="26" t="n">
        <v>1.21</v>
      </c>
    </row>
    <row r="56">
      <c r="A56" s="12" t="inlineStr">
        <is>
          <t>s2</t>
        </is>
      </c>
      <c r="B56" s="23" t="n">
        <v>0.45</v>
      </c>
      <c r="C56" s="25" t="n">
        <v>1.5</v>
      </c>
      <c r="D56" s="26" t="n">
        <v>-1.05</v>
      </c>
      <c r="E56" s="26" t="n">
        <v>1.1025</v>
      </c>
    </row>
    <row r="57">
      <c r="A57" s="12" t="inlineStr">
        <is>
          <t>s3</t>
        </is>
      </c>
      <c r="B57" s="23" t="n">
        <v>1.7</v>
      </c>
      <c r="C57" s="25" t="n">
        <v>1</v>
      </c>
      <c r="D57" s="26" t="n">
        <v>0.7</v>
      </c>
      <c r="E57" s="26" t="n">
        <v>0.49</v>
      </c>
    </row>
    <row r="58">
      <c r="A58" s="12" t="inlineStr">
        <is>
          <t>s4</t>
        </is>
      </c>
      <c r="B58" s="23" t="n">
        <v>0.975</v>
      </c>
      <c r="C58" s="25" t="n">
        <v>2.5</v>
      </c>
      <c r="D58" s="26" t="n">
        <v>-1.525</v>
      </c>
      <c r="E58" s="26" t="n">
        <v>2.3256</v>
      </c>
    </row>
    <row r="59">
      <c r="A59" s="12" t="inlineStr">
        <is>
          <t>s5</t>
        </is>
      </c>
      <c r="B59" s="23" t="n">
        <v>0.125</v>
      </c>
      <c r="C59" s="25" t="n">
        <v>1.8</v>
      </c>
      <c r="D59" s="26" t="n">
        <v>-1.675</v>
      </c>
      <c r="E59" s="26" t="n">
        <v>2.8056</v>
      </c>
    </row>
    <row r="60">
      <c r="A60" s="12" t="inlineStr">
        <is>
          <t>s6</t>
        </is>
      </c>
      <c r="B60" s="23" t="n">
        <v>1.2</v>
      </c>
      <c r="C60" s="25" t="n">
        <v>2.2</v>
      </c>
      <c r="D60" s="26" t="n">
        <v>-1</v>
      </c>
      <c r="E60" s="26" t="n">
        <v>1</v>
      </c>
    </row>
    <row r="61">
      <c r="A61" s="12" t="inlineStr">
        <is>
          <t>s7</t>
        </is>
      </c>
      <c r="B61" s="23" t="n">
        <v>0.95</v>
      </c>
      <c r="C61" s="25" t="n">
        <v>1.2</v>
      </c>
      <c r="D61" s="26" t="n">
        <v>-0.25</v>
      </c>
      <c r="E61" s="26" t="n">
        <v>0.0625</v>
      </c>
    </row>
    <row r="62">
      <c r="A62" s="12" t="inlineStr">
        <is>
          <t>s8</t>
        </is>
      </c>
      <c r="B62" s="23" t="n">
        <v>0.95</v>
      </c>
      <c r="C62" s="25" t="n">
        <v>1.7</v>
      </c>
      <c r="D62" s="26" t="n">
        <v>-0.75</v>
      </c>
      <c r="E62" s="26" t="n">
        <v>0.5625</v>
      </c>
    </row>
    <row r="63">
      <c r="A63" s="12" t="inlineStr">
        <is>
          <t>s9</t>
        </is>
      </c>
      <c r="B63" s="23" t="n">
        <v>1.3</v>
      </c>
      <c r="C63" s="25" t="n">
        <v>1.4</v>
      </c>
      <c r="D63" s="26" t="n">
        <v>-0.1</v>
      </c>
      <c r="E63" s="26" t="n">
        <v>0.01</v>
      </c>
    </row>
    <row r="64">
      <c r="A64" s="12" t="inlineStr">
        <is>
          <t>s10</t>
        </is>
      </c>
      <c r="B64" s="23" t="n">
        <v>0.9</v>
      </c>
      <c r="C64" s="25" t="n">
        <v>2</v>
      </c>
      <c r="D64" s="26" t="n">
        <v>-1.1</v>
      </c>
      <c r="E64" s="26" t="n">
        <v>1.21</v>
      </c>
    </row>
    <row r="65"/>
    <row r="66">
      <c r="A66" s="3">
        <f>== Step 4: Calculate MSE Loss ===</f>
        <v/>
      </c>
    </row>
    <row r="67">
      <c r="A67" s="4" t="inlineStr">
        <is>
          <t>Formula: L = (1/2n) × Σ(error²)</t>
        </is>
      </c>
    </row>
    <row r="68"/>
    <row r="69">
      <c r="A69" t="inlineStr">
        <is>
          <t>Σ(error²) =</t>
        </is>
      </c>
      <c r="B69" s="20" t="n">
        <v>10.77875</v>
      </c>
    </row>
    <row r="70">
      <c r="A70" t="inlineStr">
        <is>
          <t>n (sample count) =</t>
        </is>
      </c>
      <c r="B70" s="20" t="n">
        <v>10</v>
      </c>
    </row>
    <row r="71">
      <c r="A71" s="12" t="inlineStr">
        <is>
          <t>Loss =</t>
        </is>
      </c>
      <c r="B71" s="24" t="n"/>
      <c r="C71">
        <f>IF(ABS(B71-Answer_Key!B20)&lt;0.0001,"✓","✗")</f>
        <v/>
      </c>
    </row>
    <row r="72"/>
    <row r="73">
      <c r="A73" s="3">
        <f>== Result Summary ===</f>
        <v/>
      </c>
    </row>
    <row r="74">
      <c r="A74" s="23" t="inlineStr">
        <is>
          <t>Final Loss (MSE): 0.538938</t>
        </is>
      </c>
    </row>
  </sheetData>
  <conditionalFormatting sqref="F1:F100">
    <cfRule type="expression" priority="1" dxfId="0">
      <formula>L1="✓"</formula>
    </cfRule>
    <cfRule type="expression" priority="2" dxfId="1">
      <formula>L1="✗"</formula>
    </cfRule>
  </conditionalFormatting>
  <conditionalFormatting sqref="L1:L100">
    <cfRule type="expression" priority="1" dxfId="0">
      <formula>L1="✓"</formula>
    </cfRule>
    <cfRule type="expression" priority="2" dxfId="1">
      <formula>L1="✗"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Backward Propagation - Gradient Calculation</t>
        </is>
      </c>
    </row>
    <row r="2"/>
    <row r="3">
      <c r="A3" s="12" t="inlineStr">
        <is>
          <t>Progress:</t>
        </is>
      </c>
      <c r="B3">
        <f>COUNTIF(E:E,"✓")/10*100&amp;"%"</f>
        <v/>
      </c>
    </row>
    <row r="4"/>
    <row r="5">
      <c r="A5" s="12" t="inlineStr">
        <is>
          <t>Learning rate (lr):</t>
        </is>
      </c>
      <c r="B5" s="27" t="n">
        <v>0.01</v>
      </c>
    </row>
    <row r="6"/>
    <row r="7">
      <c r="A7" s="3">
        <f>== Step 1: Output Gradient (∂L/∂Y_pred) ===</f>
        <v/>
      </c>
    </row>
    <row r="8">
      <c r="A8" s="18" t="inlineStr">
        <is>
          <t>Formula: ∂L/∂y_pred_i = (1/n) × (y_pred_i - y_true_i)</t>
        </is>
      </c>
    </row>
    <row r="9"/>
    <row r="10">
      <c r="A10" s="22" t="inlineStr">
        <is>
          <t>Sample</t>
        </is>
      </c>
      <c r="B10" s="22" t="inlineStr">
        <is>
          <t>Calculation</t>
        </is>
      </c>
      <c r="C10" s="22" t="inlineStr">
        <is>
          <t>∂L/∂y_pred</t>
        </is>
      </c>
      <c r="D10" s="22" t="inlineStr">
        <is>
          <t>Student input</t>
        </is>
      </c>
      <c r="E10" s="22" t="inlineStr">
        <is>
          <t>Verification</t>
        </is>
      </c>
    </row>
    <row r="11">
      <c r="A11" s="12" t="inlineStr">
        <is>
          <t>s1</t>
        </is>
      </c>
      <c r="B11" s="20" t="inlineStr">
        <is>
          <t>(1/10) × (0.9000 - 2.00)</t>
        </is>
      </c>
      <c r="C11" s="26" t="n">
        <v>-0.11</v>
      </c>
      <c r="D11" s="24" t="n"/>
      <c r="E11">
        <f>IF(ABS(D11-Answer_Key!B25)&lt;0.0001,"✓","✗")</f>
        <v/>
      </c>
    </row>
    <row r="12">
      <c r="A12" s="12" t="inlineStr">
        <is>
          <t>s2</t>
        </is>
      </c>
      <c r="B12" s="20" t="inlineStr">
        <is>
          <t>(1/10) × (0.4500 - 1.50)</t>
        </is>
      </c>
      <c r="C12" s="26" t="n">
        <v>-0.105</v>
      </c>
      <c r="D12" s="24" t="n"/>
      <c r="E12">
        <f>IF(ABS(D12-Answer_Key!B26)&lt;0.0001,"✓","✗")</f>
        <v/>
      </c>
    </row>
    <row r="13">
      <c r="A13" s="12" t="inlineStr">
        <is>
          <t>s3</t>
        </is>
      </c>
      <c r="B13" s="20" t="inlineStr">
        <is>
          <t>(1/10) × (1.7000 - 1.00)</t>
        </is>
      </c>
      <c r="C13" s="26" t="n">
        <v>0.07000000000000001</v>
      </c>
      <c r="D13" s="24" t="n"/>
      <c r="E13">
        <f>IF(ABS(D13-Answer_Key!B27)&lt;0.0001,"✓","✗")</f>
        <v/>
      </c>
    </row>
    <row r="14">
      <c r="A14" s="12" t="inlineStr">
        <is>
          <t>s4</t>
        </is>
      </c>
      <c r="B14" s="20" t="inlineStr">
        <is>
          <t>(1/10) × (0.9750 - 2.50)</t>
        </is>
      </c>
      <c r="C14" s="26" t="n">
        <v>-0.1525</v>
      </c>
      <c r="D14" s="24" t="n"/>
      <c r="E14">
        <f>IF(ABS(D14-Answer_Key!B28)&lt;0.0001,"✓","✗")</f>
        <v/>
      </c>
    </row>
    <row r="15">
      <c r="A15" s="12" t="inlineStr">
        <is>
          <t>s5</t>
        </is>
      </c>
      <c r="B15" s="20" t="inlineStr">
        <is>
          <t>(1/10) × (0.1250 - 1.80)</t>
        </is>
      </c>
      <c r="C15" s="26" t="n">
        <v>-0.1675</v>
      </c>
      <c r="D15" s="24" t="n"/>
      <c r="E15">
        <f>IF(ABS(D15-Answer_Key!B29)&lt;0.0001,"✓","✗")</f>
        <v/>
      </c>
    </row>
    <row r="16">
      <c r="A16" s="12" t="inlineStr">
        <is>
          <t>s6</t>
        </is>
      </c>
      <c r="B16" s="20" t="inlineStr">
        <is>
          <t>(1/10) × (1.2000 - 2.20)</t>
        </is>
      </c>
      <c r="C16" s="26" t="n">
        <v>-0.1</v>
      </c>
      <c r="D16" s="24" t="n"/>
      <c r="E16">
        <f>IF(ABS(D16-Answer_Key!B30)&lt;0.0001,"✓","✗")</f>
        <v/>
      </c>
    </row>
    <row r="17">
      <c r="A17" s="12" t="inlineStr">
        <is>
          <t>s7</t>
        </is>
      </c>
      <c r="B17" s="20" t="inlineStr">
        <is>
          <t>(1/10) × (0.9500 - 1.20)</t>
        </is>
      </c>
      <c r="C17" s="26" t="n">
        <v>-0.025</v>
      </c>
      <c r="D17" s="24" t="n"/>
      <c r="E17">
        <f>IF(ABS(D17-Answer_Key!B31)&lt;0.0001,"✓","✗")</f>
        <v/>
      </c>
    </row>
    <row r="18">
      <c r="A18" s="12" t="inlineStr">
        <is>
          <t>s8</t>
        </is>
      </c>
      <c r="B18" s="20" t="inlineStr">
        <is>
          <t>(1/10) × (0.9500 - 1.70)</t>
        </is>
      </c>
      <c r="C18" s="26" t="n">
        <v>-0.075</v>
      </c>
      <c r="D18" s="24" t="n"/>
      <c r="E18">
        <f>IF(ABS(D18-Answer_Key!B32)&lt;0.0001,"✓","✗")</f>
        <v/>
      </c>
    </row>
    <row r="19">
      <c r="A19" s="12" t="inlineStr">
        <is>
          <t>s9</t>
        </is>
      </c>
      <c r="B19" s="20" t="inlineStr">
        <is>
          <t>(1/10) × (1.3000 - 1.40)</t>
        </is>
      </c>
      <c r="C19" s="26" t="n">
        <v>-0.01</v>
      </c>
      <c r="D19" s="24" t="n"/>
      <c r="E19">
        <f>IF(ABS(D19-Answer_Key!B33)&lt;0.0001,"✓","✗")</f>
        <v/>
      </c>
    </row>
    <row r="20">
      <c r="A20" s="12" t="inlineStr">
        <is>
          <t>s10</t>
        </is>
      </c>
      <c r="B20" s="20" t="inlineStr">
        <is>
          <t>(1/10) × (0.9000 - 2.00)</t>
        </is>
      </c>
      <c r="C20" s="26" t="n">
        <v>-0.11</v>
      </c>
      <c r="D20" s="24" t="n"/>
      <c r="E20">
        <f>IF(ABS(D20-Answer_Key!B34)&lt;0.0001,"✓","✗")</f>
        <v/>
      </c>
    </row>
    <row r="21"/>
    <row r="22"/>
    <row r="23">
      <c r="A23" s="3">
        <f>== Step 2: Weight Gradient (∂L/∂W) ===</f>
        <v/>
      </c>
    </row>
    <row r="24">
      <c r="A24" s="18" t="inlineStr">
        <is>
          <t>Formula: ∂L/∂W = X^T · (∂L/∂Y_pred) = X^T · dL_dY</t>
        </is>
      </c>
    </row>
    <row r="25">
      <c r="A25" s="18" t="inlineStr">
        <is>
          <t>Each weight: ∂L/∂w_j = Σ_i (x_ij × ∂L/∂y_pred_i)</t>
        </is>
      </c>
    </row>
    <row r="26"/>
    <row r="27">
      <c r="A27" s="22" t="inlineStr">
        <is>
          <t>Weight</t>
        </is>
      </c>
      <c r="B27" s="22" t="inlineStr">
        <is>
          <t>Calculation (column j of X · dL_dY)</t>
        </is>
      </c>
      <c r="C27" s="22" t="inlineStr">
        <is>
          <t>∂L/∂w</t>
        </is>
      </c>
      <c r="D27" s="22" t="inlineStr">
        <is>
          <t>Student input</t>
        </is>
      </c>
      <c r="E27" s="22" t="inlineStr">
        <is>
          <t>Verification</t>
        </is>
      </c>
    </row>
    <row r="28">
      <c r="A28" s="12" t="inlineStr">
        <is>
          <t>∂L/∂w1</t>
        </is>
      </c>
      <c r="B28" s="20" t="inlineStr">
        <is>
          <t>1.0×-0.1100 + 0.5×-0.1050 + 2.0×0.0700 + ...</t>
        </is>
      </c>
      <c r="C28" s="26" t="n">
        <v>-0.2425</v>
      </c>
      <c r="D28" s="24" t="n"/>
      <c r="E28">
        <f>IF(ABS(D28-Answer_Key!B37)&lt;0.0001,"✓","✗")</f>
        <v/>
      </c>
    </row>
    <row r="29">
      <c r="A29" s="12" t="inlineStr">
        <is>
          <t>∂L/∂w2</t>
        </is>
      </c>
      <c r="B29" s="20" t="inlineStr">
        <is>
          <t>2.0×-0.1100 + 1.0×-0.1050 + 0.0×0.0700 + ...</t>
        </is>
      </c>
      <c r="C29" s="26" t="n">
        <v>-0.70375</v>
      </c>
      <c r="D29" s="24" t="n"/>
      <c r="E29">
        <f>IF(ABS(D29-Answer_Key!B38)&lt;0.0001,"✓","✗")</f>
        <v/>
      </c>
    </row>
    <row r="30">
      <c r="A30" s="12" t="inlineStr">
        <is>
          <t>∂L/∂w3</t>
        </is>
      </c>
      <c r="B30" s="20" t="inlineStr">
        <is>
          <t>0.0×-0.1100 + 1.0×-0.1050 + -1.0×0.0700 + ...</t>
        </is>
      </c>
      <c r="C30" s="26" t="n">
        <v>-0.63875</v>
      </c>
      <c r="D30" s="24" t="n"/>
      <c r="E30">
        <f>IF(ABS(D30-Answer_Key!B39)&lt;0.0001,"✓","✗")</f>
        <v/>
      </c>
    </row>
    <row r="31">
      <c r="A31" s="12" t="inlineStr">
        <is>
          <t>∂L/∂w4</t>
        </is>
      </c>
      <c r="B31" s="20" t="inlineStr">
        <is>
          <t>-1.0×-0.1100 + 0.0×-0.1050 + 1.0×0.0700 + ...</t>
        </is>
      </c>
      <c r="C31" s="26" t="n">
        <v>-0.09875</v>
      </c>
      <c r="D31" s="24" t="n"/>
      <c r="E31">
        <f>IF(ABS(D31-Answer_Key!B40)&lt;0.0001,"✓","✗")</f>
        <v/>
      </c>
    </row>
    <row r="32">
      <c r="A32" s="12" t="inlineStr">
        <is>
          <t>∂L/∂w5</t>
        </is>
      </c>
      <c r="B32" s="20" t="inlineStr">
        <is>
          <t>1.0×-0.1100 + 0.5×-0.1050 + 0.0×0.0700 + ...</t>
        </is>
      </c>
      <c r="C32" s="26" t="n">
        <v>-0.38625</v>
      </c>
      <c r="D32" s="24" t="n"/>
      <c r="E32">
        <f>IF(ABS(D32-Answer_Key!B41)&lt;0.0001,"✓","✗")</f>
        <v/>
      </c>
    </row>
    <row r="33">
      <c r="A33" s="12" t="inlineStr">
        <is>
          <t>∂L/∂w6</t>
        </is>
      </c>
      <c r="B33" s="20" t="inlineStr">
        <is>
          <t>0.0×-0.1100 + -1.0×-0.1050 + 0.5×0.0700 + ...</t>
        </is>
      </c>
      <c r="C33" s="26" t="n">
        <v>-0.09</v>
      </c>
      <c r="D33" s="24" t="n"/>
      <c r="E33">
        <f>IF(ABS(D33-Answer_Key!B42)&lt;0.0001,"✓","✗")</f>
        <v/>
      </c>
    </row>
    <row r="34">
      <c r="A34" s="12" t="inlineStr">
        <is>
          <t>∂L/∂w7</t>
        </is>
      </c>
      <c r="B34" s="20" t="inlineStr">
        <is>
          <t>0.5×-0.1100 + 0.0×-0.1050 + 1.0×0.0700 + ...</t>
        </is>
      </c>
      <c r="C34" s="26" t="n">
        <v>-0.03375</v>
      </c>
      <c r="D34" s="24" t="n"/>
      <c r="E34">
        <f>IF(ABS(D34-Answer_Key!B43)&lt;0.0001,"✓","✗")</f>
        <v/>
      </c>
    </row>
    <row r="35">
      <c r="A35" s="12" t="inlineStr">
        <is>
          <t>∂L/∂w8</t>
        </is>
      </c>
      <c r="B35" s="20" t="inlineStr">
        <is>
          <t>-0.5×-0.1100 + 1.0×-0.1050 + 0.0×0.0700 + ...</t>
        </is>
      </c>
      <c r="C35" s="26" t="n">
        <v>-0.29375</v>
      </c>
      <c r="D35" s="24" t="n"/>
      <c r="E35">
        <f>IF(ABS(D35-Answer_Key!B44)&lt;0.0001,"✓","✗")</f>
        <v/>
      </c>
    </row>
    <row r="36"/>
    <row r="37">
      <c r="A37" s="12" t="inlineStr">
        <is>
          <t>∂L/∂b</t>
        </is>
      </c>
      <c r="B37" s="20" t="inlineStr">
        <is>
          <t>Σ(∂L/∂y_pred_i) = Sum of all gradients</t>
        </is>
      </c>
      <c r="C37" s="26" t="n">
        <v>-0.785</v>
      </c>
      <c r="D37" s="24" t="n"/>
      <c r="E37">
        <f>IF(ABS(D37-Answer_Key!B45)&lt;0.0001,"✓","✗")</f>
        <v/>
      </c>
    </row>
    <row r="38"/>
    <row r="39">
      <c r="A39" s="3">
        <f>== Step 3: Weight Update ===</f>
        <v/>
      </c>
    </row>
    <row r="40">
      <c r="A40" s="18" t="inlineStr">
        <is>
          <t>Formula: w_new = w_old - lr × ∂L/∂w (lr = 0.01)</t>
        </is>
      </c>
    </row>
    <row r="41"/>
    <row r="42">
      <c r="A42" s="22" t="inlineStr">
        <is>
          <t>Weight</t>
        </is>
      </c>
      <c r="B42" s="22" t="inlineStr">
        <is>
          <t>Existing value</t>
        </is>
      </c>
      <c r="C42" s="22" t="inlineStr">
        <is>
          <t>Gradient</t>
        </is>
      </c>
      <c r="D42" s="22" t="inlineStr">
        <is>
          <t>New value</t>
        </is>
      </c>
      <c r="E42" s="22" t="inlineStr">
        <is>
          <t>Student input</t>
        </is>
      </c>
      <c r="F42" s="22" t="inlineStr">
        <is>
          <t>Verification</t>
        </is>
      </c>
    </row>
    <row r="43">
      <c r="A43" s="12" t="inlineStr">
        <is>
          <t>w1</t>
        </is>
      </c>
      <c r="B43" s="27" t="n">
        <v>0.2</v>
      </c>
      <c r="C43" s="26" t="n">
        <v>-0.2425</v>
      </c>
      <c r="D43" s="23" t="n">
        <v>0.202425</v>
      </c>
      <c r="E43" s="24" t="n"/>
      <c r="F43">
        <f>IF(ABS(E43-Answer_Key!B48)&lt;0.0001,"✓","✗")</f>
        <v/>
      </c>
    </row>
    <row r="44">
      <c r="A44" s="12" t="inlineStr">
        <is>
          <t>w2</t>
        </is>
      </c>
      <c r="B44" s="27" t="n">
        <v>0.3</v>
      </c>
      <c r="C44" s="26" t="n">
        <v>-0.70375</v>
      </c>
      <c r="D44" s="23" t="n">
        <v>0.307037</v>
      </c>
      <c r="E44" s="24" t="n"/>
      <c r="F44">
        <f>IF(ABS(E44-Answer_Key!B49)&lt;0.0001,"✓","✗")</f>
        <v/>
      </c>
    </row>
    <row r="45">
      <c r="A45" s="12" t="inlineStr">
        <is>
          <t>w3</t>
        </is>
      </c>
      <c r="B45" s="27" t="n">
        <v>-0.1</v>
      </c>
      <c r="C45" s="26" t="n">
        <v>-0.63875</v>
      </c>
      <c r="D45" s="23" t="n">
        <v>-0.093613</v>
      </c>
      <c r="E45" s="24" t="n"/>
      <c r="F45">
        <f>IF(ABS(E45-Answer_Key!B50)&lt;0.0001,"✓","✗")</f>
        <v/>
      </c>
    </row>
    <row r="46">
      <c r="A46" s="12" t="inlineStr">
        <is>
          <t>w4</t>
        </is>
      </c>
      <c r="B46" s="27" t="n">
        <v>0.4</v>
      </c>
      <c r="C46" s="26" t="n">
        <v>-0.09875</v>
      </c>
      <c r="D46" s="23" t="n">
        <v>0.400987</v>
      </c>
      <c r="E46" s="24" t="n"/>
      <c r="F46">
        <f>IF(ABS(E46-Answer_Key!B51)&lt;0.0001,"✓","✗")</f>
        <v/>
      </c>
    </row>
    <row r="47">
      <c r="A47" s="12" t="inlineStr">
        <is>
          <t>w5</t>
        </is>
      </c>
      <c r="B47" s="27" t="n">
        <v>-0.2</v>
      </c>
      <c r="C47" s="26" t="n">
        <v>-0.38625</v>
      </c>
      <c r="D47" s="23" t="n">
        <v>-0.196138</v>
      </c>
      <c r="E47" s="24" t="n"/>
      <c r="F47">
        <f>IF(ABS(E47-Answer_Key!B52)&lt;0.0001,"✓","✗")</f>
        <v/>
      </c>
    </row>
    <row r="48">
      <c r="A48" s="12" t="inlineStr">
        <is>
          <t>w6</t>
        </is>
      </c>
      <c r="B48" s="27" t="n">
        <v>0.1</v>
      </c>
      <c r="C48" s="26" t="n">
        <v>-0.09</v>
      </c>
      <c r="D48" s="23" t="n">
        <v>0.1009</v>
      </c>
      <c r="E48" s="24" t="n"/>
      <c r="F48">
        <f>IF(ABS(E48-Answer_Key!B53)&lt;0.0001,"✓","✗")</f>
        <v/>
      </c>
    </row>
    <row r="49">
      <c r="A49" s="12" t="inlineStr">
        <is>
          <t>w7</t>
        </is>
      </c>
      <c r="B49" s="27" t="n">
        <v>0.25</v>
      </c>
      <c r="C49" s="26" t="n">
        <v>-0.03375</v>
      </c>
      <c r="D49" s="23" t="n">
        <v>0.250337</v>
      </c>
      <c r="E49" s="24" t="n"/>
      <c r="F49">
        <f>IF(ABS(E49-Answer_Key!B54)&lt;0.0001,"✓","✗")</f>
        <v/>
      </c>
    </row>
    <row r="50">
      <c r="A50" s="12" t="inlineStr">
        <is>
          <t>w8</t>
        </is>
      </c>
      <c r="B50" s="27" t="n">
        <v>-0.15</v>
      </c>
      <c r="C50" s="26" t="n">
        <v>-0.29375</v>
      </c>
      <c r="D50" s="23" t="n">
        <v>-0.147062</v>
      </c>
      <c r="E50" s="24" t="n"/>
      <c r="F50">
        <f>IF(ABS(E50-Answer_Key!B55)&lt;0.0001,"✓","✗")</f>
        <v/>
      </c>
    </row>
    <row r="51">
      <c r="A51" s="12" t="inlineStr">
        <is>
          <t>b</t>
        </is>
      </c>
      <c r="B51" s="27" t="n">
        <v>0.5</v>
      </c>
      <c r="C51" s="26" t="n">
        <v>-0.785</v>
      </c>
      <c r="D51" s="23" t="n">
        <v>0.50785</v>
      </c>
      <c r="E51" s="24" t="n"/>
      <c r="F51">
        <f>IF(ABS(E51-Answer_Key!B56)&lt;0.0001,"✓","✗")</f>
        <v/>
      </c>
    </row>
    <row r="52"/>
    <row r="53">
      <c r="A53" s="3">
        <f>== Verification: Confirm Loss Decrease ===</f>
        <v/>
      </c>
    </row>
    <row r="54"/>
    <row r="55">
      <c r="A55" s="12" t="inlineStr">
        <is>
          <t>Loss before update:</t>
        </is>
      </c>
      <c r="B55" s="26" t="n">
        <v>0.538938</v>
      </c>
    </row>
    <row r="56">
      <c r="A56" s="12" t="inlineStr">
        <is>
          <t>Loss after update:</t>
        </is>
      </c>
      <c r="B56" s="23" t="n">
        <v>0.520824</v>
      </c>
    </row>
    <row r="57">
      <c r="A57" s="12" t="inlineStr">
        <is>
          <t>Loss reduction:</t>
        </is>
      </c>
      <c r="B57" s="28" t="n">
        <v>0.018114</v>
      </c>
    </row>
  </sheetData>
  <conditionalFormatting sqref="E1:E100">
    <cfRule type="expression" priority="1" dxfId="0">
      <formula>E1="✓"</formula>
    </cfRule>
    <cfRule type="expression" priority="2" dxfId="1">
      <formula>E1="✗"</formula>
    </cfRule>
  </conditionalFormatting>
  <conditionalFormatting sqref="F1:F100">
    <cfRule type="expression" priority="1" dxfId="0">
      <formula>E1="✓"</formula>
    </cfRule>
    <cfRule type="expression" priority="2" dxfId="1">
      <formula>E1="✗"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Answer Key</t>
        </is>
      </c>
    </row>
    <row r="2"/>
    <row r="3">
      <c r="A3" s="3">
        <f>== Forward ===</f>
        <v/>
      </c>
      <c r="B3" s="12" t="inlineStr">
        <is>
          <t>z_i</t>
        </is>
      </c>
      <c r="C3" s="12" t="inlineStr">
        <is>
          <t>z_i</t>
        </is>
      </c>
      <c r="D3" s="12" t="inlineStr">
        <is>
          <t>y_pred_i</t>
        </is>
      </c>
    </row>
    <row r="4">
      <c r="A4" t="inlineStr">
        <is>
          <t>Sample 1</t>
        </is>
      </c>
      <c r="B4" t="n">
        <v>0.4</v>
      </c>
      <c r="C4" t="n">
        <v>0.9</v>
      </c>
      <c r="D4" t="n">
        <v>0.9</v>
      </c>
    </row>
    <row r="5">
      <c r="A5" t="inlineStr">
        <is>
          <t>Sample 2</t>
        </is>
      </c>
      <c r="B5" t="n">
        <v>-0.05</v>
      </c>
      <c r="C5" t="n">
        <v>0.45</v>
      </c>
      <c r="D5" t="n">
        <v>0.45</v>
      </c>
    </row>
    <row r="6">
      <c r="A6" t="inlineStr">
        <is>
          <t>Sample 3</t>
        </is>
      </c>
      <c r="B6" t="n">
        <v>1.2</v>
      </c>
      <c r="C6" t="n">
        <v>1.7</v>
      </c>
      <c r="D6" t="n">
        <v>1.7</v>
      </c>
    </row>
    <row r="7">
      <c r="A7" t="inlineStr">
        <is>
          <t>Sample 4</t>
        </is>
      </c>
      <c r="B7" t="n">
        <v>0.475</v>
      </c>
      <c r="C7" t="n">
        <v>0.975</v>
      </c>
      <c r="D7" t="n">
        <v>0.975</v>
      </c>
    </row>
    <row r="8">
      <c r="A8" t="inlineStr">
        <is>
          <t>Sample 5</t>
        </is>
      </c>
      <c r="B8" t="n">
        <v>-0.375</v>
      </c>
      <c r="C8" t="n">
        <v>0.125</v>
      </c>
      <c r="D8" t="n">
        <v>0.125</v>
      </c>
    </row>
    <row r="9">
      <c r="A9" t="inlineStr">
        <is>
          <t>Sample 6</t>
        </is>
      </c>
      <c r="B9" t="n">
        <v>0.7</v>
      </c>
      <c r="C9" t="n">
        <v>1.2</v>
      </c>
      <c r="D9" t="n">
        <v>1.2</v>
      </c>
    </row>
    <row r="10">
      <c r="A10" t="inlineStr">
        <is>
          <t>Sample 7</t>
        </is>
      </c>
      <c r="B10" t="n">
        <v>0.45</v>
      </c>
      <c r="C10" t="n">
        <v>0.95</v>
      </c>
      <c r="D10" t="n">
        <v>0.95</v>
      </c>
    </row>
    <row r="11">
      <c r="A11" t="inlineStr">
        <is>
          <t>Sample 8</t>
        </is>
      </c>
      <c r="B11" t="n">
        <v>0.45</v>
      </c>
      <c r="C11" t="n">
        <v>0.95</v>
      </c>
      <c r="D11" t="n">
        <v>0.95</v>
      </c>
    </row>
    <row r="12">
      <c r="A12" t="inlineStr">
        <is>
          <t>Sample 9</t>
        </is>
      </c>
      <c r="B12" t="n">
        <v>0.8</v>
      </c>
      <c r="C12" t="n">
        <v>1.3</v>
      </c>
      <c r="D12" t="n">
        <v>1.3</v>
      </c>
    </row>
    <row r="13">
      <c r="A13" t="inlineStr">
        <is>
          <t>Sample 10</t>
        </is>
      </c>
      <c r="B13" t="n">
        <v>0.4</v>
      </c>
      <c r="C13" t="n">
        <v>0.9</v>
      </c>
      <c r="D13" t="n">
        <v>0.9</v>
      </c>
    </row>
    <row r="14"/>
    <row r="15">
      <c r="A15" s="3">
        <f>== Error &amp; Loss ===</f>
        <v/>
      </c>
    </row>
    <row r="16">
      <c r="A16" t="inlineStr">
        <is>
          <t>error_1</t>
        </is>
      </c>
      <c r="B16" t="n">
        <v>-1.1</v>
      </c>
    </row>
    <row r="17">
      <c r="A17" t="inlineStr">
        <is>
          <t>error_2</t>
        </is>
      </c>
      <c r="B17" t="n">
        <v>-1.05</v>
      </c>
    </row>
    <row r="18">
      <c r="A18" t="inlineStr">
        <is>
          <t>error_3</t>
        </is>
      </c>
      <c r="B18" t="n">
        <v>0.7</v>
      </c>
    </row>
    <row r="19">
      <c r="A19" t="inlineStr">
        <is>
          <t>error_4</t>
        </is>
      </c>
      <c r="B19" t="n">
        <v>-1.525</v>
      </c>
    </row>
    <row r="20">
      <c r="A20" t="inlineStr">
        <is>
          <t>error_5</t>
        </is>
      </c>
      <c r="B20" t="n">
        <v>-1.675</v>
      </c>
    </row>
    <row r="21">
      <c r="A21" t="inlineStr">
        <is>
          <t>error_6</t>
        </is>
      </c>
      <c r="B21" t="n">
        <v>-1</v>
      </c>
    </row>
    <row r="22">
      <c r="A22" t="inlineStr">
        <is>
          <t>error_7</t>
        </is>
      </c>
      <c r="B22" t="n">
        <v>-0.25</v>
      </c>
    </row>
    <row r="23">
      <c r="A23" t="inlineStr">
        <is>
          <t>error_8</t>
        </is>
      </c>
      <c r="B23" t="n">
        <v>-0.75</v>
      </c>
    </row>
    <row r="24">
      <c r="A24" t="inlineStr">
        <is>
          <t>error_9</t>
        </is>
      </c>
      <c r="B24" t="n">
        <v>-0.1</v>
      </c>
    </row>
    <row r="25">
      <c r="A25" t="inlineStr">
        <is>
          <t>error_10</t>
        </is>
      </c>
      <c r="B25" t="n">
        <v>-1.1</v>
      </c>
    </row>
    <row r="26"/>
    <row r="27">
      <c r="A27" t="inlineStr">
        <is>
          <t>Loss (MSE)</t>
        </is>
      </c>
      <c r="B27" t="n">
        <v>0.538938</v>
      </c>
    </row>
    <row r="28"/>
    <row r="29">
      <c r="A29" s="3">
        <f>== Backward ===</f>
        <v/>
      </c>
    </row>
    <row r="30"/>
    <row r="31">
      <c r="A31" s="12" t="inlineStr">
        <is>
          <t>∂L/∂Y_pred:</t>
        </is>
      </c>
    </row>
    <row r="32">
      <c r="A32" t="inlineStr">
        <is>
          <t>∂L/∂y_pred_1</t>
        </is>
      </c>
      <c r="B32" t="n">
        <v>-0.11</v>
      </c>
    </row>
    <row r="33">
      <c r="A33" t="inlineStr">
        <is>
          <t>∂L/∂y_pred_2</t>
        </is>
      </c>
      <c r="B33" t="n">
        <v>-0.105</v>
      </c>
    </row>
    <row r="34">
      <c r="A34" t="inlineStr">
        <is>
          <t>∂L/∂y_pred_3</t>
        </is>
      </c>
      <c r="B34" t="n">
        <v>0.07000000000000001</v>
      </c>
    </row>
    <row r="35">
      <c r="A35" t="inlineStr">
        <is>
          <t>∂L/∂y_pred_4</t>
        </is>
      </c>
      <c r="B35" t="n">
        <v>-0.1525</v>
      </c>
    </row>
    <row r="36">
      <c r="A36" t="inlineStr">
        <is>
          <t>∂L/∂y_pred_5</t>
        </is>
      </c>
      <c r="B36" t="n">
        <v>-0.1675</v>
      </c>
    </row>
    <row r="37">
      <c r="A37" t="inlineStr">
        <is>
          <t>∂L/∂y_pred_6</t>
        </is>
      </c>
      <c r="B37" t="n">
        <v>-0.1</v>
      </c>
    </row>
    <row r="38">
      <c r="A38" t="inlineStr">
        <is>
          <t>∂L/∂y_pred_7</t>
        </is>
      </c>
      <c r="B38" t="n">
        <v>-0.025</v>
      </c>
    </row>
    <row r="39">
      <c r="A39" t="inlineStr">
        <is>
          <t>∂L/∂y_pred_8</t>
        </is>
      </c>
      <c r="B39" t="n">
        <v>-0.075</v>
      </c>
    </row>
    <row r="40">
      <c r="A40" t="inlineStr">
        <is>
          <t>∂L/∂y_pred_9</t>
        </is>
      </c>
      <c r="B40" t="n">
        <v>-0.01</v>
      </c>
    </row>
    <row r="41">
      <c r="A41" t="inlineStr">
        <is>
          <t>∂L/∂y_pred_10</t>
        </is>
      </c>
      <c r="B41" t="n">
        <v>-0.11</v>
      </c>
    </row>
    <row r="42"/>
    <row r="43">
      <c r="A43" s="12" t="inlineStr">
        <is>
          <t>∂L/∂W:</t>
        </is>
      </c>
    </row>
    <row r="44">
      <c r="A44" t="inlineStr">
        <is>
          <t>∂L/∂w1</t>
        </is>
      </c>
      <c r="B44" t="n">
        <v>-0.2425</v>
      </c>
    </row>
    <row r="45">
      <c r="A45" t="inlineStr">
        <is>
          <t>∂L/∂w2</t>
        </is>
      </c>
      <c r="B45" t="n">
        <v>-0.70375</v>
      </c>
    </row>
    <row r="46">
      <c r="A46" t="inlineStr">
        <is>
          <t>∂L/∂w3</t>
        </is>
      </c>
      <c r="B46" t="n">
        <v>-0.63875</v>
      </c>
    </row>
    <row r="47">
      <c r="A47" t="inlineStr">
        <is>
          <t>∂L/∂w4</t>
        </is>
      </c>
      <c r="B47" t="n">
        <v>-0.09875</v>
      </c>
    </row>
    <row r="48">
      <c r="A48" t="inlineStr">
        <is>
          <t>∂L/∂w5</t>
        </is>
      </c>
      <c r="B48" t="n">
        <v>-0.38625</v>
      </c>
    </row>
    <row r="49">
      <c r="A49" t="inlineStr">
        <is>
          <t>∂L/∂w6</t>
        </is>
      </c>
      <c r="B49" t="n">
        <v>-0.09</v>
      </c>
    </row>
    <row r="50">
      <c r="A50" t="inlineStr">
        <is>
          <t>∂L/∂w7</t>
        </is>
      </c>
      <c r="B50" t="n">
        <v>-0.03375</v>
      </c>
    </row>
    <row r="51">
      <c r="A51" t="inlineStr">
        <is>
          <t>∂L/∂w8</t>
        </is>
      </c>
      <c r="B51" t="n">
        <v>-0.29375</v>
      </c>
    </row>
    <row r="52">
      <c r="A52" t="inlineStr">
        <is>
          <t>∂L/∂b</t>
        </is>
      </c>
      <c r="B52" t="n">
        <v>-0.785</v>
      </c>
    </row>
    <row r="53"/>
    <row r="54">
      <c r="A54" s="3">
        <f>== Updated Weights ===</f>
        <v/>
      </c>
    </row>
    <row r="55">
      <c r="A55" t="inlineStr">
        <is>
          <t>w1_new</t>
        </is>
      </c>
      <c r="B55" t="n">
        <v>0.202425</v>
      </c>
    </row>
    <row r="56">
      <c r="A56" t="inlineStr">
        <is>
          <t>w2_new</t>
        </is>
      </c>
      <c r="B56" t="n">
        <v>0.307037</v>
      </c>
    </row>
    <row r="57">
      <c r="A57" t="inlineStr">
        <is>
          <t>w3_new</t>
        </is>
      </c>
      <c r="B57" t="n">
        <v>-0.093613</v>
      </c>
    </row>
    <row r="58">
      <c r="A58" t="inlineStr">
        <is>
          <t>w4_new</t>
        </is>
      </c>
      <c r="B58" t="n">
        <v>0.400987</v>
      </c>
    </row>
    <row r="59">
      <c r="A59" t="inlineStr">
        <is>
          <t>w5_new</t>
        </is>
      </c>
      <c r="B59" t="n">
        <v>-0.196138</v>
      </c>
    </row>
    <row r="60">
      <c r="A60" t="inlineStr">
        <is>
          <t>w6_new</t>
        </is>
      </c>
      <c r="B60" t="n">
        <v>0.1009</v>
      </c>
    </row>
    <row r="61">
      <c r="A61" t="inlineStr">
        <is>
          <t>w7_new</t>
        </is>
      </c>
      <c r="B61" t="n">
        <v>0.250337</v>
      </c>
    </row>
    <row r="62">
      <c r="A62" t="inlineStr">
        <is>
          <t>w8_new</t>
        </is>
      </c>
      <c r="B62" t="n">
        <v>-0.147062</v>
      </c>
    </row>
    <row r="63">
      <c r="A63" t="inlineStr">
        <is>
          <t>b_new</t>
        </is>
      </c>
      <c r="B63" t="n">
        <v>0.50785</v>
      </c>
    </row>
    <row r="64"/>
    <row r="65">
      <c r="A65" t="inlineStr">
        <is>
          <t>Loss after update</t>
        </is>
      </c>
      <c r="B65" t="n">
        <v>0.520824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2026-01-20T06:45:12Z</dcterms:created>
  <dcterms:modified xmlns:dcterms="http://purl.org/dc/terms/" xmlns:xsi="http://www.w3.org/2001/XMLSchema-instance" xsi:type="dcterms:W3CDTF">2026-01-20T08:28:59Z</dcterms:modified>
</cp:coreProperties>
</file>