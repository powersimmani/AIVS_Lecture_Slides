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pectation_Variance" sheetId="2" state="visible" r:id="rId2"/>
    <sheet xmlns:r="http://schemas.openxmlformats.org/officeDocument/2006/relationships" name="Covariance_Correlation" sheetId="3" state="visible" r:id="rId3"/>
    <sheet xmlns:r="http://schemas.openxmlformats.org/officeDocument/2006/relationships" name="Bayes_Theorem" sheetId="4" state="visible" r:id="rId4"/>
    <sheet xmlns:r="http://schemas.openxmlformats.org/officeDocument/2006/relationships" name="Distributions" sheetId="5" state="visible" r:id="rId5"/>
    <sheet xmlns:r="http://schemas.openxmlformats.org/officeDocument/2006/relationships" name="Answer_Ke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sz val="16"/>
    </font>
    <font>
      <i val="1"/>
      <sz val="11"/>
    </font>
    <font>
      <name val="맑은 고딕"/>
      <sz val="11"/>
    </font>
    <font>
      <name val="맑은 고딕"/>
      <b val="1"/>
      <sz val="13"/>
    </font>
    <font>
      <name val="Cambria Math"/>
      <sz val="11"/>
    </font>
    <font>
      <b val="1"/>
    </font>
    <font>
      <i val="1"/>
      <sz val="10"/>
    </font>
    <font>
      <name val="맑은 고딕"/>
      <b val="1"/>
      <color rgb="00FFFFFF"/>
      <sz val="11"/>
    </font>
    <font>
      <name val="맑은 고딕"/>
      <b val="1"/>
      <color rgb="004472C4"/>
      <sz val="12"/>
    </font>
    <font>
      <b val="1"/>
      <sz val="12"/>
    </font>
    <font>
      <sz val="10"/>
    </font>
  </fonts>
  <fills count="13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4DFEC"/>
        <bgColor rgb="00E4DFEC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8CBAD"/>
        <bgColor rgb="00F8CBA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1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11" borderId="0" pivotButton="0" quotePrefix="0" xfId="0"/>
    <xf numFmtId="0" fontId="0" fillId="6" borderId="0" pivotButton="0" quotePrefix="0" xfId="0"/>
    <xf numFmtId="0" fontId="9" fillId="0" borderId="0" pivotButton="0" quotePrefix="0" xfId="0"/>
    <xf numFmtId="0" fontId="0" fillId="7" borderId="2" applyAlignment="1" pivotButton="0" quotePrefix="0" xfId="0">
      <alignment horizontal="center" vertical="center"/>
    </xf>
    <xf numFmtId="0" fontId="0" fillId="7" borderId="2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2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85" customWidth="1" min="1" max="1"/>
    <col width="5" customWidth="1" min="2" max="2"/>
  </cols>
  <sheetData>
    <row r="1">
      <c r="A1" s="1" t="inlineStr">
        <is>
          <t>Probability and Statistics Basic Calculation Practice Worksheet</t>
        </is>
      </c>
    </row>
    <row r="2"/>
    <row r="3">
      <c r="A3" s="2" t="inlineStr">
        <is>
          <t>Lecture 03 Part 2: Probability and Statistics Fundamentals</t>
        </is>
      </c>
    </row>
    <row r="4">
      <c r="A4" s="3">
        <f>=====================================================================</f>
        <v/>
      </c>
    </row>
    <row r="5"/>
    <row r="6">
      <c r="A6" s="4" t="inlineStr">
        <is>
          <t>[Learning Objectives]</t>
        </is>
      </c>
    </row>
    <row r="7">
      <c r="A7" s="3" t="inlineStr">
        <is>
          <t>1. Calculate expected value and variance of discrete probability distribution</t>
        </is>
      </c>
    </row>
    <row r="8">
      <c r="A8" s="3" t="inlineStr">
        <is>
          <t>2. Understand covariance and correlation between two variables</t>
        </is>
      </c>
    </row>
    <row r="9">
      <c r="A9" s="3" t="inlineStr">
        <is>
          <t>3. Apply conditional probability and Bayes' theorem</t>
        </is>
      </c>
    </row>
    <row r="10">
      <c r="A10" s="3" t="inlineStr">
        <is>
          <t>4. Calculate binomial distribution probability</t>
        </is>
      </c>
    </row>
    <row r="11">
      <c r="A11" s="3" t="inlineStr">
        <is>
          <t>5. Real application of statistical concepts (disease test example)</t>
        </is>
      </c>
    </row>
    <row r="12"/>
    <row r="13">
      <c r="A13" s="4" t="inlineStr">
        <is>
          <t>[Key Formulas - Expected Value and Variance]</t>
        </is>
      </c>
    </row>
    <row r="14">
      <c r="A14" s="5" t="inlineStr">
        <is>
          <t>* Expected value (Expectation):     E[X] = Sum(x_i * P(x_i))</t>
        </is>
      </c>
    </row>
    <row r="15">
      <c r="A15" s="5" t="inlineStr">
        <is>
          <t>* Variance:          Var(X) = E[X^2] - (E[X])^2</t>
        </is>
      </c>
    </row>
    <row r="16">
      <c r="A16" s="5" t="inlineStr">
        <is>
          <t xml:space="preserve">                            or Var(X) = E[(X - mu)^2]</t>
        </is>
      </c>
    </row>
    <row r="17">
      <c r="A17" s="5" t="inlineStr">
        <is>
          <t>* Standard deviation (Std Dev):       sigma = sqrt(Var(X))</t>
        </is>
      </c>
    </row>
    <row r="18"/>
    <row r="19">
      <c r="A19" s="4" t="inlineStr">
        <is>
          <t>[Key Formulas - Covariance and Correlation]</t>
        </is>
      </c>
    </row>
    <row r="20">
      <c r="A20" s="5" t="inlineStr">
        <is>
          <t>* Covariance:      Cov(X,Y) = E[(X - mu_X)(Y - mu_Y)]</t>
        </is>
      </c>
    </row>
    <row r="21">
      <c r="A21" s="5" t="inlineStr">
        <is>
          <t xml:space="preserve">                            = (1/n) * Sum((x_i - mean_X)(y_i - mean_Y))</t>
        </is>
      </c>
    </row>
    <row r="22">
      <c r="A22" s="5" t="inlineStr">
        <is>
          <t>* Correlation coefficient:   rho = Cov(X,Y) / (sigma_X * sigma_Y)</t>
        </is>
      </c>
    </row>
    <row r="23">
      <c r="A23" s="5" t="inlineStr">
        <is>
          <t xml:space="preserve">                            Range: -1 &lt;= rho &lt;= 1</t>
        </is>
      </c>
    </row>
    <row r="24"/>
    <row r="25">
      <c r="A25" s="4" t="inlineStr">
        <is>
          <t>[Key Formulas - Bayes Theorem]</t>
        </is>
      </c>
    </row>
    <row r="26">
      <c r="A26" s="5" t="inlineStr">
        <is>
          <t>* Conditional probability:              P(A|B) = P(A and B) / P(B)</t>
        </is>
      </c>
    </row>
    <row r="27">
      <c r="A27" s="5" t="inlineStr">
        <is>
          <t>* Bayes' theorem:              P(A|B) = P(B|A) * P(A) / P(B)</t>
        </is>
      </c>
    </row>
    <row r="28">
      <c r="A28" s="5" t="inlineStr">
        <is>
          <t>* Law of total probability:           P(B) = P(B|A)*P(A) + P(B|A^c)*P(A^c)</t>
        </is>
      </c>
    </row>
    <row r="29"/>
    <row r="30">
      <c r="A30" s="4" t="inlineStr">
        <is>
          <t>[Key Formulas - Binomial Distribution]</t>
        </is>
      </c>
    </row>
    <row r="31">
      <c r="A31" s="5" t="inlineStr">
        <is>
          <t>* Binomial distribution PMF:            P(X = k) = C(n,k) * p^k * (1-p)^(n-k)</t>
        </is>
      </c>
    </row>
    <row r="32">
      <c r="A32" s="5" t="inlineStr">
        <is>
          <t>* Binomial coefficient:                C(n,k) = n! / (k! * (n-k)!)</t>
        </is>
      </c>
    </row>
    <row r="33">
      <c r="A33" s="5" t="inlineStr">
        <is>
          <t>* Expected value:                   E[X] = n * p</t>
        </is>
      </c>
    </row>
    <row r="34">
      <c r="A34" s="5" t="inlineStr">
        <is>
          <t>* Variance:                     Var(X) = n * p * (1-p)</t>
        </is>
      </c>
    </row>
    <row r="35"/>
    <row r="36">
      <c r="A36" s="4" t="inlineStr">
        <is>
          <t>[Color Legend]</t>
        </is>
      </c>
    </row>
    <row r="37">
      <c r="A37" s="3" t="inlineStr">
        <is>
          <t xml:space="preserve">  ■ X data/value</t>
        </is>
      </c>
      <c r="B37" s="6" t="n"/>
    </row>
    <row r="38">
      <c r="A38" s="3" t="inlineStr">
        <is>
          <t xml:space="preserve">  ■ Y data/value</t>
        </is>
      </c>
      <c r="B38" s="7" t="n"/>
    </row>
    <row r="39">
      <c r="A39" s="3" t="inlineStr">
        <is>
          <t xml:space="preserve">  ■ Probability P(x)</t>
        </is>
      </c>
      <c r="B39" s="8" t="n"/>
    </row>
    <row r="40">
      <c r="A40" s="3" t="inlineStr">
        <is>
          <t xml:space="preserve">  ■ Intermediate calculation</t>
        </is>
      </c>
      <c r="B40" s="9" t="n"/>
    </row>
    <row r="41">
      <c r="A41" s="3" t="inlineStr">
        <is>
          <t xml:space="preserve">  ■ Result</t>
        </is>
      </c>
      <c r="B41" s="10" t="n"/>
    </row>
    <row r="42">
      <c r="A42" s="3" t="inlineStr">
        <is>
          <t xml:space="preserve">  ■ Student input cell</t>
        </is>
      </c>
      <c r="B42" s="11" t="n"/>
    </row>
    <row r="43">
      <c r="A43" s="3" t="inlineStr">
        <is>
          <t xml:space="preserve">  ■ Answer</t>
        </is>
      </c>
      <c r="B43" s="12" t="n"/>
    </row>
    <row r="44">
      <c r="A44" s="3" t="inlineStr">
        <is>
          <t xml:space="preserve">  ■ Wrong</t>
        </is>
      </c>
      <c r="B44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Expected Value and Variance</t>
        </is>
      </c>
    </row>
    <row r="2"/>
    <row r="3">
      <c r="A3" s="14" t="inlineStr">
        <is>
          <t>Progress:</t>
        </is>
      </c>
      <c r="B3">
        <f>COUNTIF(I:I,"V")/10*100&amp;"%"</f>
        <v/>
      </c>
    </row>
    <row r="4"/>
    <row r="5">
      <c r="A5" s="4">
        <f>== Biased Dice Probability Distribution ===</f>
        <v/>
      </c>
    </row>
    <row r="6">
      <c r="A6" s="15" t="inlineStr">
        <is>
          <t>(Biased dice with certain faces appearing more often)</t>
        </is>
      </c>
    </row>
    <row r="7"/>
    <row r="8">
      <c r="A8" s="16" t="inlineStr">
        <is>
          <t>x (value)</t>
        </is>
      </c>
      <c r="B8" s="16" t="inlineStr">
        <is>
          <t>1</t>
        </is>
      </c>
      <c r="C8" s="16" t="inlineStr">
        <is>
          <t>2</t>
        </is>
      </c>
      <c r="D8" s="16" t="inlineStr">
        <is>
          <t>3</t>
        </is>
      </c>
      <c r="E8" s="16" t="inlineStr">
        <is>
          <t>4</t>
        </is>
      </c>
      <c r="F8" s="16" t="inlineStr">
        <is>
          <t>5</t>
        </is>
      </c>
      <c r="G8" s="16" t="inlineStr">
        <is>
          <t>6</t>
        </is>
      </c>
    </row>
    <row r="9">
      <c r="A9" s="17" t="inlineStr">
        <is>
          <t>X</t>
        </is>
      </c>
      <c r="B9" s="18" t="n">
        <v>1</v>
      </c>
      <c r="C9" s="18" t="n">
        <v>2</v>
      </c>
      <c r="D9" s="18" t="n">
        <v>3</v>
      </c>
      <c r="E9" s="18" t="n">
        <v>4</v>
      </c>
      <c r="F9" s="18" t="n">
        <v>5</v>
      </c>
      <c r="G9" s="18" t="n">
        <v>6</v>
      </c>
    </row>
    <row r="10">
      <c r="A10" s="19" t="inlineStr">
        <is>
          <t>P(X=x)</t>
        </is>
      </c>
      <c r="B10" s="20" t="n">
        <v>0.1</v>
      </c>
      <c r="C10" s="20" t="n">
        <v>0.1</v>
      </c>
      <c r="D10" s="20" t="n">
        <v>0.2</v>
      </c>
      <c r="E10" s="20" t="n">
        <v>0.2</v>
      </c>
      <c r="F10" s="20" t="n">
        <v>0.2</v>
      </c>
      <c r="G10" s="20" t="n">
        <v>0.2</v>
      </c>
    </row>
    <row r="11"/>
    <row r="12">
      <c r="A12" t="inlineStr">
        <is>
          <t>Probability sum verification:</t>
        </is>
      </c>
      <c r="B12" s="21" t="inlineStr">
        <is>
          <t>Sum P(x) =</t>
        </is>
      </c>
      <c r="D12" s="22" t="n">
        <v>1</v>
      </c>
      <c r="E12" s="15" t="inlineStr">
        <is>
          <t>(should be = 1)</t>
        </is>
      </c>
    </row>
    <row r="13"/>
    <row r="14">
      <c r="A14" s="23" t="inlineStr">
        <is>
          <t>&gt;&gt;&gt; Step 1: Expected value E[X]</t>
        </is>
      </c>
    </row>
    <row r="15">
      <c r="A15" s="21" t="inlineStr">
        <is>
          <t>Formula: E[X] = Sum(x * P(x))</t>
        </is>
      </c>
    </row>
    <row r="16"/>
    <row r="17">
      <c r="A17" s="14" t="inlineStr">
        <is>
          <t>x * P(x)</t>
        </is>
      </c>
      <c r="B17" s="21" t="inlineStr">
        <is>
          <t>1*0.1</t>
        </is>
      </c>
      <c r="C17" s="21" t="inlineStr">
        <is>
          <t>2*0.1</t>
        </is>
      </c>
      <c r="D17" s="21" t="inlineStr">
        <is>
          <t>3*0.2</t>
        </is>
      </c>
      <c r="E17" s="21" t="inlineStr">
        <is>
          <t>4*0.2</t>
        </is>
      </c>
      <c r="F17" s="21" t="inlineStr">
        <is>
          <t>5*0.2</t>
        </is>
      </c>
      <c r="G17" s="21" t="inlineStr">
        <is>
          <t>6*0.2</t>
        </is>
      </c>
    </row>
    <row r="18">
      <c r="A18" s="14">
        <f> </f>
        <v/>
      </c>
      <c r="B18" s="24" t="n"/>
      <c r="C18" s="24" t="n"/>
      <c r="D18" s="24" t="n"/>
      <c r="E18" s="24" t="n"/>
      <c r="F18" s="24" t="n"/>
      <c r="G18" s="24" t="n"/>
      <c r="I18">
        <f>IF(AND(ABS(B18-Answer_Key!B3)&lt;0.01,ABS(C18-Answer_Key!C3)&lt;0.01,ABS(D18-Answer_Key!D3)&lt;0.01,ABS(E18-Answer_Key!E3)&lt;0.01,ABS(F18-Answer_Key!F3)&lt;0.01,ABS(G18-Answer_Key!G3)&lt;0.01),"V","X")</f>
        <v/>
      </c>
    </row>
    <row r="19"/>
    <row r="20">
      <c r="A20" s="14" t="inlineStr">
        <is>
          <t>E[X] = Total =</t>
        </is>
      </c>
      <c r="C20" s="25" t="n"/>
      <c r="E20">
        <f>IF(ABS(C20-Answer_Key!B5)&lt;0.01,"V","X")</f>
        <v/>
      </c>
    </row>
    <row r="21"/>
    <row r="22">
      <c r="A22" s="23" t="inlineStr">
        <is>
          <t>&gt;&gt;&gt; Step 2: E[X^2]</t>
        </is>
      </c>
    </row>
    <row r="23">
      <c r="A23" s="21" t="inlineStr">
        <is>
          <t>Formula: E[X^2] = Sum(x^2 * P(x))</t>
        </is>
      </c>
    </row>
    <row r="24"/>
    <row r="25">
      <c r="A25" s="14" t="inlineStr">
        <is>
          <t>x^2</t>
        </is>
      </c>
      <c r="B25" s="26" t="n">
        <v>1</v>
      </c>
      <c r="C25" s="26" t="n">
        <v>4</v>
      </c>
      <c r="D25" s="26" t="n">
        <v>9</v>
      </c>
      <c r="E25" s="26" t="n">
        <v>16</v>
      </c>
      <c r="F25" s="26" t="n">
        <v>25</v>
      </c>
      <c r="G25" s="26" t="n">
        <v>36</v>
      </c>
    </row>
    <row r="26">
      <c r="A26" s="14" t="inlineStr">
        <is>
          <t>x^2 * P(x)</t>
        </is>
      </c>
      <c r="B26" s="24" t="n"/>
      <c r="C26" s="24" t="n"/>
      <c r="D26" s="24" t="n"/>
      <c r="E26" s="24" t="n"/>
      <c r="F26" s="24" t="n"/>
      <c r="G26" s="24" t="n"/>
      <c r="I26">
        <f>IF(AND(ABS(B26-Answer_Key!B8)&lt;0.01,ABS(C26-Answer_Key!C8)&lt;0.01,ABS(D26-Answer_Key!D8)&lt;0.01,ABS(E26-Answer_Key!E8)&lt;0.01,ABS(F26-Answer_Key!F8)&lt;0.01,ABS(G26-Answer_Key!G8)&lt;0.01),"V","X")</f>
        <v/>
      </c>
    </row>
    <row r="27"/>
    <row r="28">
      <c r="A28" s="14" t="inlineStr">
        <is>
          <t>E[X^2] = Total =</t>
        </is>
      </c>
      <c r="C28" s="25" t="n"/>
      <c r="E28">
        <f>IF(ABS(C28-Answer_Key!B10)&lt;0.01,"V","X")</f>
        <v/>
      </c>
    </row>
    <row r="29"/>
    <row r="30">
      <c r="A30" s="23" t="inlineStr">
        <is>
          <t>&gt;&gt;&gt; Step 3: Variance Var(X)</t>
        </is>
      </c>
    </row>
    <row r="31">
      <c r="A31" s="21" t="inlineStr">
        <is>
          <t>Formula: Var(X) = E[X^2] - (E[X])^2</t>
        </is>
      </c>
    </row>
    <row r="32"/>
    <row r="33">
      <c r="A33" t="inlineStr">
        <is>
          <t>(E[X])^2 =</t>
        </is>
      </c>
      <c r="C33" s="25" t="n"/>
      <c r="E33">
        <f>IF(ABS(C33-Answer_Key!B12)&lt;0.01,"V","X")</f>
        <v/>
      </c>
    </row>
    <row r="34">
      <c r="A34" s="14" t="inlineStr">
        <is>
          <t>Var(X) =</t>
        </is>
      </c>
      <c r="B34" s="21" t="inlineStr">
        <is>
          <t>E[X^2] - (E[X])^2 =</t>
        </is>
      </c>
      <c r="E34" s="25" t="n"/>
      <c r="G34">
        <f>IF(ABS(E34-Answer_Key!B13)&lt;0.01,"V","X")</f>
        <v/>
      </c>
    </row>
    <row r="35"/>
    <row r="36">
      <c r="A36" s="23" t="inlineStr">
        <is>
          <t>&gt;&gt;&gt; Step 4: Standard deviation</t>
        </is>
      </c>
    </row>
    <row r="37">
      <c r="A37" s="21" t="inlineStr">
        <is>
          <t>Formula: sigma = sqrt(Var(X))</t>
        </is>
      </c>
    </row>
    <row r="38"/>
    <row r="39">
      <c r="A39" s="14" t="inlineStr">
        <is>
          <t>sigma =</t>
        </is>
      </c>
      <c r="C39" s="25" t="n"/>
      <c r="E39">
        <f>IF(ABS(C39-Answer_Key!B15)&lt;0.01,"V","X")</f>
        <v/>
      </c>
    </row>
    <row r="40"/>
    <row r="41">
      <c r="A41" s="4">
        <f>== Result Summary ===</f>
        <v/>
      </c>
    </row>
    <row r="42">
      <c r="A42" s="22" t="inlineStr">
        <is>
          <t>E[X] = 3.90</t>
        </is>
      </c>
    </row>
    <row r="43">
      <c r="A43" s="22" t="inlineStr">
        <is>
          <t>Var(X) = 2.4900</t>
        </is>
      </c>
    </row>
    <row r="44">
      <c r="A44" s="22" t="inlineStr">
        <is>
          <t>sigma = 1.5780</t>
        </is>
      </c>
    </row>
  </sheetData>
  <conditionalFormatting sqref="E1:I100">
    <cfRule type="expression" priority="1" dxfId="0">
      <formula>I1="V"</formula>
    </cfRule>
    <cfRule type="expression" priority="2" dxfId="1">
      <formula>I1="X"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Covariance &amp; Correlation</t>
        </is>
      </c>
    </row>
    <row r="2"/>
    <row r="3">
      <c r="A3" s="14" t="inlineStr">
        <is>
          <t>Progress:</t>
        </is>
      </c>
      <c r="B3">
        <f>COUNTIF(H:H,"V")/8*100&amp;"%"</f>
        <v/>
      </c>
    </row>
    <row r="4"/>
    <row r="5">
      <c r="A5" s="4">
        <f>== Two Variable Data (n=5) ===</f>
        <v/>
      </c>
    </row>
    <row r="6"/>
    <row r="7">
      <c r="A7" s="16" t="inlineStr">
        <is>
          <t>i</t>
        </is>
      </c>
      <c r="B7" s="16" t="inlineStr">
        <is>
          <t>1</t>
        </is>
      </c>
      <c r="C7" s="16" t="inlineStr">
        <is>
          <t>2</t>
        </is>
      </c>
      <c r="D7" s="16" t="inlineStr">
        <is>
          <t>3</t>
        </is>
      </c>
      <c r="E7" s="16" t="inlineStr">
        <is>
          <t>4</t>
        </is>
      </c>
      <c r="F7" s="16" t="inlineStr">
        <is>
          <t>5</t>
        </is>
      </c>
    </row>
    <row r="8">
      <c r="A8" s="17" t="inlineStr">
        <is>
          <t>X_i</t>
        </is>
      </c>
      <c r="B8" s="18" t="n">
        <v>2</v>
      </c>
      <c r="C8" s="18" t="n">
        <v>4</v>
      </c>
      <c r="D8" s="18" t="n">
        <v>6</v>
      </c>
      <c r="E8" s="18" t="n">
        <v>8</v>
      </c>
      <c r="F8" s="18" t="n">
        <v>10</v>
      </c>
    </row>
    <row r="9">
      <c r="A9" s="27" t="inlineStr">
        <is>
          <t>Y_i</t>
        </is>
      </c>
      <c r="B9" s="28" t="n">
        <v>1</v>
      </c>
      <c r="C9" s="28" t="n">
        <v>3</v>
      </c>
      <c r="D9" s="28" t="n">
        <v>4</v>
      </c>
      <c r="E9" s="28" t="n">
        <v>6</v>
      </c>
      <c r="F9" s="28" t="n">
        <v>8</v>
      </c>
    </row>
    <row r="10"/>
    <row r="11">
      <c r="A11" s="23" t="inlineStr">
        <is>
          <t>&gt;&gt;&gt; Step 1: Calculate mean</t>
        </is>
      </c>
    </row>
    <row r="12">
      <c r="A12" t="inlineStr">
        <is>
          <t>mean_X =</t>
        </is>
      </c>
      <c r="B12" s="21" t="inlineStr">
        <is>
          <t>Sum(X_i)/n = 30/5 =</t>
        </is>
      </c>
      <c r="E12" s="25" t="n"/>
      <c r="G12">
        <f>IF(ABS(E12-Answer_Key!B20)&lt;0.01,"V","X")</f>
        <v/>
      </c>
    </row>
    <row r="13">
      <c r="A13" t="inlineStr">
        <is>
          <t>mean_Y =</t>
        </is>
      </c>
      <c r="B13" s="21" t="inlineStr">
        <is>
          <t>Sum(Y_i)/n = 22/5 =</t>
        </is>
      </c>
      <c r="E13" s="25" t="n"/>
      <c r="G13">
        <f>IF(ABS(E13-Answer_Key!B21)&lt;0.01,"V","X")</f>
        <v/>
      </c>
    </row>
    <row r="14"/>
    <row r="15">
      <c r="A15" s="23" t="inlineStr">
        <is>
          <t>&gt;&gt;&gt; Step 2: Calculate deviation</t>
        </is>
      </c>
    </row>
    <row r="16">
      <c r="A16" s="26" t="inlineStr">
        <is>
          <t>X_i - mean_X</t>
        </is>
      </c>
      <c r="B16" s="29" t="n">
        <v>-4</v>
      </c>
      <c r="C16" s="29" t="n">
        <v>-2</v>
      </c>
      <c r="D16" s="29" t="n">
        <v>0</v>
      </c>
      <c r="E16" s="29" t="n">
        <v>2</v>
      </c>
      <c r="F16" s="29" t="n">
        <v>4</v>
      </c>
    </row>
    <row r="17">
      <c r="A17" s="26" t="inlineStr">
        <is>
          <t>Y_i - mean_Y</t>
        </is>
      </c>
      <c r="B17" s="29" t="n">
        <v>-3.4</v>
      </c>
      <c r="C17" s="29" t="n">
        <v>-1.4</v>
      </c>
      <c r="D17" s="29" t="n">
        <v>-0.4</v>
      </c>
      <c r="E17" s="29" t="n">
        <v>1.6</v>
      </c>
      <c r="F17" s="29" t="n">
        <v>3.6</v>
      </c>
    </row>
    <row r="18"/>
    <row r="19">
      <c r="A19" s="23" t="inlineStr">
        <is>
          <t>&gt;&gt;&gt; Step 3: Covariance</t>
        </is>
      </c>
    </row>
    <row r="20">
      <c r="A20" s="21" t="inlineStr">
        <is>
          <t>Formula: Cov(X,Y) = (1/n) * Sum((X_i - mean_X)(Y_i - mean_Y))</t>
        </is>
      </c>
    </row>
    <row r="21"/>
    <row r="22">
      <c r="A22" s="14" t="inlineStr">
        <is>
          <t>(X-mean)(Y-mean)</t>
        </is>
      </c>
      <c r="B22" s="24" t="n"/>
      <c r="C22" s="24" t="n"/>
      <c r="D22" s="24" t="n"/>
      <c r="E22" s="24" t="n"/>
      <c r="F22" s="24" t="n"/>
      <c r="H22">
        <f>IF(AND(ABS(B22-Answer_Key!B25)&lt;0.01,ABS(C22-Answer_Key!C25)&lt;0.01,ABS(D22-Answer_Key!D25)&lt;0.01,ABS(E22-Answer_Key!E25)&lt;0.01,ABS(F22-Answer_Key!F25)&lt;0.01),"V","X")</f>
        <v/>
      </c>
    </row>
    <row r="23"/>
    <row r="24">
      <c r="A24" t="inlineStr">
        <is>
          <t>Total =</t>
        </is>
      </c>
      <c r="C24" s="25" t="n"/>
      <c r="E24">
        <f>IF(ABS(C24-Answer_Key!B27)&lt;0.01,"V","X")</f>
        <v/>
      </c>
    </row>
    <row r="25">
      <c r="A25" s="14" t="inlineStr">
        <is>
          <t>Cov(X,Y) =</t>
        </is>
      </c>
      <c r="B25" s="21" t="inlineStr">
        <is>
          <t>Total / 5 =</t>
        </is>
      </c>
      <c r="D25" s="25" t="n"/>
      <c r="F25">
        <f>IF(ABS(D25-Answer_Key!B28)&lt;0.01,"V","X")</f>
        <v/>
      </c>
    </row>
    <row r="26"/>
    <row r="27">
      <c r="A27" s="23" t="inlineStr">
        <is>
          <t>&gt;&gt;&gt; Step 4: Standard deviation</t>
        </is>
      </c>
    </row>
    <row r="28">
      <c r="A28" t="inlineStr">
        <is>
          <t>sigma_X =</t>
        </is>
      </c>
      <c r="B28" s="21" t="inlineStr">
        <is>
          <t>sqrt(Var(X)) =</t>
        </is>
      </c>
      <c r="D28" s="25" t="n"/>
      <c r="F28">
        <f>IF(ABS(D28-Answer_Key!B30)&lt;0.01,"V","X")</f>
        <v/>
      </c>
    </row>
    <row r="29">
      <c r="A29" t="inlineStr">
        <is>
          <t>sigma_Y =</t>
        </is>
      </c>
      <c r="B29" s="21" t="inlineStr">
        <is>
          <t>sqrt(Var(Y)) =</t>
        </is>
      </c>
      <c r="D29" s="25" t="n"/>
      <c r="F29">
        <f>IF(ABS(D29-Answer_Key!B31)&lt;0.01,"V","X")</f>
        <v/>
      </c>
    </row>
    <row r="30"/>
    <row r="31">
      <c r="A31" s="23" t="inlineStr">
        <is>
          <t>&gt;&gt;&gt; Step 5: Correlation coefficient</t>
        </is>
      </c>
    </row>
    <row r="32">
      <c r="A32" s="21" t="inlineStr">
        <is>
          <t>Formula: rho = Cov(X,Y) / (sigma_X * sigma_Y)</t>
        </is>
      </c>
    </row>
    <row r="33"/>
    <row r="34">
      <c r="A34" s="14" t="inlineStr">
        <is>
          <t>rho =</t>
        </is>
      </c>
      <c r="C34" s="25" t="n"/>
      <c r="E34">
        <f>IF(ABS(C34-Answer_Key!B33)&lt;0.01,"V","X")</f>
        <v/>
      </c>
    </row>
    <row r="35"/>
    <row r="36">
      <c r="A36" s="4">
        <f>== Correlation Coefficient Interpretation ===</f>
        <v/>
      </c>
    </row>
    <row r="37">
      <c r="A37" s="21" t="inlineStr">
        <is>
          <t>rho = 1: Perfect positive correlation</t>
        </is>
      </c>
    </row>
    <row r="38">
      <c r="A38" s="21" t="inlineStr">
        <is>
          <t>rho = 0: No correlation</t>
        </is>
      </c>
    </row>
    <row r="39">
      <c r="A39" s="21" t="inlineStr">
        <is>
          <t>rho = -1: Perfect negative correlation</t>
        </is>
      </c>
    </row>
    <row r="40"/>
    <row r="41">
      <c r="A41" s="22" t="inlineStr">
        <is>
          <t>Result: rho = 0.9948 -&gt; Strong positive correlation</t>
        </is>
      </c>
    </row>
  </sheetData>
  <conditionalFormatting sqref="E1:H100">
    <cfRule type="expression" priority="1" dxfId="0">
      <formula>H1="V"</formula>
    </cfRule>
    <cfRule type="expression" priority="2" dxfId="1">
      <formula>H1="X"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Bayes' Theorem</t>
        </is>
      </c>
    </row>
    <row r="2"/>
    <row r="3">
      <c r="A3" s="14" t="inlineStr">
        <is>
          <t>Progress:</t>
        </is>
      </c>
      <c r="B3">
        <f>COUNTIF(E:E,"V")/5*100&amp;"%"</f>
        <v/>
      </c>
    </row>
    <row r="4"/>
    <row r="5">
      <c r="A5" s="4">
        <f>== Problem: Disease Test ===</f>
        <v/>
      </c>
    </row>
    <row r="6"/>
    <row r="7">
      <c r="A7" s="3" t="inlineStr">
        <is>
          <t>The prevalence of a rare disease is 1%.</t>
        </is>
      </c>
    </row>
    <row r="8">
      <c r="A8" s="3" t="inlineStr">
        <is>
          <t>Sensitivity (positive when disease present): 95%</t>
        </is>
      </c>
    </row>
    <row r="9">
      <c r="A9" s="3" t="inlineStr">
        <is>
          <t>False positive rate (positive when no disease): 5%</t>
        </is>
      </c>
    </row>
    <row r="10">
      <c r="A10" s="3" t="inlineStr"/>
    </row>
    <row r="11">
      <c r="A11" s="3" t="inlineStr">
        <is>
          <t>Question: When the test result is positive,</t>
        </is>
      </c>
    </row>
    <row r="12">
      <c r="A12" s="3" t="inlineStr">
        <is>
          <t xml:space="preserve">      What is the probability of actually having the disease?</t>
        </is>
      </c>
    </row>
    <row r="13"/>
    <row r="14">
      <c r="A14" s="4">
        <f>== Given Information ===</f>
        <v/>
      </c>
    </row>
    <row r="15">
      <c r="A15" s="30" t="inlineStr">
        <is>
          <t>P(D) = Disease prevalence</t>
        </is>
      </c>
      <c r="C15" s="30" t="n">
        <v>0.01</v>
      </c>
    </row>
    <row r="16">
      <c r="A16" s="21" t="inlineStr">
        <is>
          <t>P(D^c) = Probability of no disease</t>
        </is>
      </c>
      <c r="C16" s="21" t="n">
        <v>0.99</v>
      </c>
    </row>
    <row r="17">
      <c r="A17" s="30" t="inlineStr">
        <is>
          <t>P(+|D) = Sensitivity</t>
        </is>
      </c>
      <c r="C17" s="30" t="n">
        <v>0.95</v>
      </c>
    </row>
    <row r="18">
      <c r="A18" s="30" t="inlineStr">
        <is>
          <t>P(+|D^c) = False positive rate</t>
        </is>
      </c>
      <c r="C18" s="30" t="n">
        <v>0.05</v>
      </c>
    </row>
    <row r="19"/>
    <row r="20">
      <c r="A20" s="23" t="inlineStr">
        <is>
          <t>&gt;&gt;&gt; Step 1: Calculate P(+)</t>
        </is>
      </c>
    </row>
    <row r="21">
      <c r="A21" s="21" t="inlineStr">
        <is>
          <t>Law of total probability:</t>
        </is>
      </c>
    </row>
    <row r="22">
      <c r="A22" s="21" t="inlineStr">
        <is>
          <t>P(+) = P(+|D)*P(D) + P(+|D^c)*P(D^c)</t>
        </is>
      </c>
    </row>
    <row r="23"/>
    <row r="24">
      <c r="A24" t="inlineStr">
        <is>
          <t>P(+|D) * P(D) =</t>
        </is>
      </c>
      <c r="B24" s="21" t="inlineStr">
        <is>
          <t>0.95 * 0.01 =</t>
        </is>
      </c>
      <c r="D24" s="25" t="n"/>
      <c r="E24">
        <f>IF(ABS(D24-Answer_Key!B38)&lt;0.0001,"V","X")</f>
        <v/>
      </c>
    </row>
    <row r="25">
      <c r="A25" t="inlineStr">
        <is>
          <t>P(+|D^c) * P(D^c) =</t>
        </is>
      </c>
      <c r="B25" s="21" t="inlineStr">
        <is>
          <t>0.05 * 0.99 =</t>
        </is>
      </c>
      <c r="D25" s="25" t="n"/>
      <c r="E25">
        <f>IF(ABS(D25-Answer_Key!B39)&lt;0.0001,"V","X")</f>
        <v/>
      </c>
    </row>
    <row r="26"/>
    <row r="27">
      <c r="A27" s="14" t="inlineStr">
        <is>
          <t>P(+) = Total =</t>
        </is>
      </c>
      <c r="C27" s="25" t="n"/>
      <c r="E27">
        <f>IF(ABS(C27-Answer_Key!B40)&lt;0.0001,"V","X")</f>
        <v/>
      </c>
    </row>
    <row r="28"/>
    <row r="29">
      <c r="A29" s="23" t="inlineStr">
        <is>
          <t>&gt;&gt;&gt; Step 2: Bayes' theorem</t>
        </is>
      </c>
    </row>
    <row r="30">
      <c r="A30" s="21" t="inlineStr">
        <is>
          <t>P(D|+) = P(+|D) * P(D) / P(+)</t>
        </is>
      </c>
    </row>
    <row r="31"/>
    <row r="32">
      <c r="A32" s="31" t="inlineStr">
        <is>
          <t>P(D|+) =</t>
        </is>
      </c>
      <c r="C32" s="25" t="n"/>
      <c r="E32">
        <f>IF(ABS(C32-Answer_Key!B42)&lt;0.001,"V","X")</f>
        <v/>
      </c>
    </row>
    <row r="33"/>
    <row r="34">
      <c r="A34" s="4">
        <f>== Result Interpretation ===</f>
        <v/>
      </c>
    </row>
    <row r="35">
      <c r="A35" s="22" t="inlineStr">
        <is>
          <t>Actual disease probability when positive result:</t>
        </is>
      </c>
      <c r="D35" s="22" t="inlineStr">
        <is>
          <t>16.1%</t>
        </is>
      </c>
    </row>
    <row r="36"/>
    <row r="37">
      <c r="A37" s="32" t="inlineStr">
        <is>
          <t>Surprising result: Even if positive, actual disease probability is only about 16%!</t>
        </is>
      </c>
    </row>
    <row r="38">
      <c r="A38" s="32" t="inlineStr"/>
    </row>
    <row r="39">
      <c r="A39" s="32" t="inlineStr">
        <is>
          <t>Reason:</t>
        </is>
      </c>
    </row>
    <row r="40">
      <c r="A40" s="32" t="inlineStr">
        <is>
          <t>- Many false positives due to low prevalence (1%)</t>
        </is>
      </c>
    </row>
    <row r="41">
      <c r="A41" s="32" t="inlineStr">
        <is>
          <t>- About 5 out of 99 are false positives (4.95)</t>
        </is>
      </c>
    </row>
    <row r="42">
      <c r="A42" s="32" t="inlineStr">
        <is>
          <t>- 0.95 out of 1 are true positives</t>
        </is>
      </c>
    </row>
    <row r="43">
      <c r="A43" s="32" t="inlineStr">
        <is>
          <t>- True positive ratio among positives = 0.95 / (0.95 + 4.95) ~ 16%</t>
        </is>
      </c>
    </row>
    <row r="44">
      <c r="A44" s="32" t="inlineStr"/>
    </row>
    <row r="45">
      <c r="A45" s="32" t="inlineStr">
        <is>
          <t>This is an example of 'Base Rate Fallacy'!</t>
        </is>
      </c>
    </row>
  </sheetData>
  <conditionalFormatting sqref="E1:E100">
    <cfRule type="expression" priority="1" dxfId="0">
      <formula>E1="V"</formula>
    </cfRule>
    <cfRule type="expression" priority="2" dxfId="1">
      <formula>E1="X"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Binomial Distribution</t>
        </is>
      </c>
    </row>
    <row r="2"/>
    <row r="3">
      <c r="A3" s="14" t="inlineStr">
        <is>
          <t>Progress:</t>
        </is>
      </c>
      <c r="B3">
        <f>COUNTIF(E:E,"V")/6*100&amp;"%"</f>
        <v/>
      </c>
    </row>
    <row r="4"/>
    <row r="5">
      <c r="A5" s="4">
        <f>== Problem: Biased Coin Toss ===</f>
        <v/>
      </c>
    </row>
    <row r="6"/>
    <row r="7">
      <c r="A7" s="3" t="inlineStr">
        <is>
          <t>A coin with 0.3 probability of heads</t>
        </is>
      </c>
    </row>
    <row r="8">
      <c r="A8" s="3" t="inlineStr">
        <is>
          <t>When thrown 10 times,</t>
        </is>
      </c>
    </row>
    <row r="9">
      <c r="A9" s="3" t="inlineStr">
        <is>
          <t>What is the probability of exactly 3 heads?</t>
        </is>
      </c>
    </row>
    <row r="10"/>
    <row r="11">
      <c r="A11" s="4">
        <f>== Parameters ===</f>
        <v/>
      </c>
    </row>
    <row r="12">
      <c r="A12" s="17" t="inlineStr">
        <is>
          <t>n (number of trials)</t>
        </is>
      </c>
      <c r="B12" s="17" t="n">
        <v>10</v>
      </c>
    </row>
    <row r="13">
      <c r="A13" s="17" t="inlineStr">
        <is>
          <t>p (success probability)</t>
        </is>
      </c>
      <c r="B13" s="17" t="n">
        <v>0.3</v>
      </c>
    </row>
    <row r="14">
      <c r="A14" s="17" t="inlineStr">
        <is>
          <t>k (target success count)</t>
        </is>
      </c>
      <c r="B14" s="17" t="n">
        <v>3</v>
      </c>
    </row>
    <row r="15"/>
    <row r="16">
      <c r="A16" s="4">
        <f>== Binomial Distribution Formula ===</f>
        <v/>
      </c>
    </row>
    <row r="17">
      <c r="A17" s="21" t="inlineStr">
        <is>
          <t>P(X=k) = C(n,k) * p^k * (1-p)^(n-k)</t>
        </is>
      </c>
    </row>
    <row r="18"/>
    <row r="19">
      <c r="A19" s="23" t="inlineStr">
        <is>
          <t>&gt;&gt;&gt; Step 1: Binomial coefficient C(n,k)</t>
        </is>
      </c>
    </row>
    <row r="20">
      <c r="A20" s="21" t="inlineStr">
        <is>
          <t>C(n,k) = n! / (k! * (n-k)!)</t>
        </is>
      </c>
    </row>
    <row r="21">
      <c r="A21" t="inlineStr">
        <is>
          <t>C(10,3) =</t>
        </is>
      </c>
      <c r="B21" s="21" t="inlineStr">
        <is>
          <t>10! / (3! * 7!) =</t>
        </is>
      </c>
      <c r="E21" s="25" t="n"/>
      <c r="F21">
        <f>IF(ABS(E21-Answer_Key!B48)&lt;0.01,"V","X")</f>
        <v/>
      </c>
    </row>
    <row r="22"/>
    <row r="23">
      <c r="A23" s="23" t="inlineStr">
        <is>
          <t>&gt;&gt;&gt; Step 2: p^k</t>
        </is>
      </c>
    </row>
    <row r="24">
      <c r="A24" t="inlineStr">
        <is>
          <t>p^k = 0.3^3 =</t>
        </is>
      </c>
      <c r="C24" s="25" t="n"/>
      <c r="E24">
        <f>IF(ABS(C24-Answer_Key!B50)&lt;0.0001,"V","X")</f>
        <v/>
      </c>
    </row>
    <row r="25"/>
    <row r="26">
      <c r="A26" s="23" t="inlineStr">
        <is>
          <t>&gt;&gt;&gt; Step 3: (1-p)^(n-k)</t>
        </is>
      </c>
    </row>
    <row r="27">
      <c r="A27" t="inlineStr">
        <is>
          <t>(1-p)^(n-k) = 0.7^7 =</t>
        </is>
      </c>
      <c r="D27" s="25" t="n"/>
      <c r="F27">
        <f>IF(ABS(D27-Answer_Key!B52)&lt;0.0001,"V","X")</f>
        <v/>
      </c>
    </row>
    <row r="28"/>
    <row r="29">
      <c r="A29" s="23" t="inlineStr">
        <is>
          <t>&gt;&gt;&gt; Step 4: Final probability</t>
        </is>
      </c>
    </row>
    <row r="30">
      <c r="A30" s="31" t="inlineStr">
        <is>
          <t>P(X=3) =</t>
        </is>
      </c>
      <c r="B30" s="21" t="inlineStr">
        <is>
          <t>C(n,k) * p^k * (1-p)^(n-k) =</t>
        </is>
      </c>
      <c r="E30" s="25" t="n"/>
      <c r="F30">
        <f>IF(ABS(E30-Answer_Key!B54)&lt;0.0001,"V","X")</f>
        <v/>
      </c>
    </row>
    <row r="31"/>
    <row r="32">
      <c r="A32" s="4">
        <f>== Binomial Distribution Properties ===</f>
        <v/>
      </c>
    </row>
    <row r="33">
      <c r="A33" t="inlineStr">
        <is>
          <t>Expected value E[X] = n*p =</t>
        </is>
      </c>
      <c r="C33" s="21" t="inlineStr">
        <is>
          <t>10 * 0.3 =</t>
        </is>
      </c>
      <c r="E33" s="25" t="n"/>
      <c r="F33">
        <f>IF(ABS(E33-Answer_Key!B56)&lt;0.01,"V","X")</f>
        <v/>
      </c>
    </row>
    <row r="34">
      <c r="A34" t="inlineStr">
        <is>
          <t>Variance Var(X) = n*p*(1-p) =</t>
        </is>
      </c>
      <c r="C34" s="21" t="inlineStr">
        <is>
          <t>10 * 0.3 * 0.7 =</t>
        </is>
      </c>
      <c r="E34" s="25" t="n"/>
      <c r="F34">
        <f>IF(ABS(E34-Answer_Key!B57)&lt;0.01,"V","X")</f>
        <v/>
      </c>
    </row>
    <row r="35"/>
    <row r="36">
      <c r="A36" s="4">
        <f>== Result Summary ===</f>
        <v/>
      </c>
    </row>
    <row r="37">
      <c r="A37" s="22" t="inlineStr">
        <is>
          <t>P(X=3) = 0.2668</t>
        </is>
      </c>
      <c r="C37" s="22" t="inlineStr">
        <is>
          <t>(26.68%)</t>
        </is>
      </c>
    </row>
    <row r="38">
      <c r="A38" s="22" t="inlineStr">
        <is>
          <t>E[X] = 3.0</t>
        </is>
      </c>
    </row>
    <row r="39">
      <c r="A39" s="22" t="inlineStr">
        <is>
          <t>Var(X) = 2.10</t>
        </is>
      </c>
    </row>
  </sheetData>
  <conditionalFormatting sqref="E1:E100">
    <cfRule type="expression" priority="1" dxfId="0">
      <formula>E1="V"</formula>
    </cfRule>
    <cfRule type="expression" priority="2" dxfId="1">
      <formula>E1="X"</formula>
    </cfRule>
  </conditionalFormatting>
  <conditionalFormatting sqref="F1:F100">
    <cfRule type="expression" priority="1" dxfId="0">
      <formula>E1="V"</formula>
    </cfRule>
    <cfRule type="expression" priority="2" dxfId="1">
      <formula>E1="X"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Answer Key - Probability &amp; Statistics</t>
        </is>
      </c>
    </row>
    <row r="2"/>
    <row r="3">
      <c r="A3" s="4">
        <f>== Expectation/Variance ===</f>
        <v/>
      </c>
    </row>
    <row r="4">
      <c r="A4" t="inlineStr">
        <is>
          <t>x * P(x)</t>
        </is>
      </c>
      <c r="B4" t="n">
        <v>0.1</v>
      </c>
      <c r="C4" t="n">
        <v>0.2</v>
      </c>
      <c r="D4" t="n">
        <v>0.6</v>
      </c>
      <c r="E4" t="n">
        <v>0.8</v>
      </c>
      <c r="F4" t="n">
        <v>1</v>
      </c>
      <c r="G4" t="n">
        <v>1.2</v>
      </c>
    </row>
    <row r="5"/>
    <row r="6">
      <c r="A6" t="inlineStr">
        <is>
          <t>E[X]</t>
        </is>
      </c>
      <c r="B6" t="n">
        <v>3.9</v>
      </c>
    </row>
    <row r="7"/>
    <row r="8">
      <c r="A8" t="inlineStr">
        <is>
          <t>x^2 (reference)</t>
        </is>
      </c>
      <c r="B8" t="n">
        <v>1</v>
      </c>
      <c r="C8" t="n">
        <v>4</v>
      </c>
      <c r="D8" t="n">
        <v>9</v>
      </c>
      <c r="E8" t="n">
        <v>16</v>
      </c>
      <c r="F8" t="n">
        <v>25</v>
      </c>
      <c r="G8" t="n">
        <v>36</v>
      </c>
    </row>
    <row r="9">
      <c r="A9" t="inlineStr">
        <is>
          <t>x^2 * P(x)</t>
        </is>
      </c>
      <c r="B9" t="n">
        <v>0.1</v>
      </c>
      <c r="C9" t="n">
        <v>0.4</v>
      </c>
      <c r="D9" t="n">
        <v>1.8</v>
      </c>
      <c r="E9" t="n">
        <v>3.2</v>
      </c>
      <c r="F9" t="n">
        <v>5</v>
      </c>
      <c r="G9" t="n">
        <v>7.2</v>
      </c>
    </row>
    <row r="10"/>
    <row r="11">
      <c r="A11" t="inlineStr">
        <is>
          <t>E[X^2]</t>
        </is>
      </c>
      <c r="B11" t="n">
        <v>17.7</v>
      </c>
    </row>
    <row r="12"/>
    <row r="13">
      <c r="A13" t="inlineStr">
        <is>
          <t>(E[X])^2</t>
        </is>
      </c>
      <c r="B13" t="n">
        <v>15.21</v>
      </c>
    </row>
    <row r="14">
      <c r="A14" t="inlineStr">
        <is>
          <t>Var(X)</t>
        </is>
      </c>
      <c r="B14" t="n">
        <v>2.49</v>
      </c>
    </row>
    <row r="15"/>
    <row r="16">
      <c r="A16" t="inlineStr">
        <is>
          <t>sigma</t>
        </is>
      </c>
      <c r="B16" t="n">
        <v>1.578</v>
      </c>
    </row>
    <row r="17"/>
    <row r="18"/>
    <row r="19">
      <c r="A19" s="4">
        <f>== Covariance/Correlation ===</f>
        <v/>
      </c>
    </row>
    <row r="20">
      <c r="A20" t="inlineStr">
        <is>
          <t>mean_X</t>
        </is>
      </c>
      <c r="B20" t="n">
        <v>6</v>
      </c>
    </row>
    <row r="21">
      <c r="A21" t="inlineStr">
        <is>
          <t>mean_Y</t>
        </is>
      </c>
      <c r="B21" t="n">
        <v>4.4</v>
      </c>
    </row>
    <row r="22"/>
    <row r="23"/>
    <row r="24">
      <c r="A24" t="inlineStr">
        <is>
          <t>(X-mean)(Y-mean)</t>
        </is>
      </c>
      <c r="B24" t="n">
        <v>13.6</v>
      </c>
      <c r="C24" t="n">
        <v>2.8</v>
      </c>
      <c r="D24" t="n">
        <v>0</v>
      </c>
      <c r="E24" t="n">
        <v>3.2</v>
      </c>
      <c r="F24" t="n">
        <v>14.4</v>
      </c>
    </row>
    <row r="25"/>
    <row r="26">
      <c r="A26" t="inlineStr">
        <is>
          <t>Sum</t>
        </is>
      </c>
      <c r="B26" t="n">
        <v>34</v>
      </c>
    </row>
    <row r="27">
      <c r="A27" t="inlineStr">
        <is>
          <t>Cov(X,Y)</t>
        </is>
      </c>
      <c r="B27" t="n">
        <v>6.8</v>
      </c>
    </row>
    <row r="28"/>
    <row r="29">
      <c r="A29" t="inlineStr">
        <is>
          <t>sigma_X</t>
        </is>
      </c>
      <c r="B29" t="n">
        <v>2.8284</v>
      </c>
    </row>
    <row r="30">
      <c r="A30" t="inlineStr">
        <is>
          <t>sigma_Y</t>
        </is>
      </c>
      <c r="B30" t="n">
        <v>2.4166</v>
      </c>
    </row>
    <row r="31"/>
    <row r="32">
      <c r="A32" t="inlineStr">
        <is>
          <t>rho</t>
        </is>
      </c>
      <c r="B32" t="n">
        <v>0.9948</v>
      </c>
    </row>
    <row r="33"/>
    <row r="34"/>
    <row r="35">
      <c r="A35" s="4">
        <f>== Bayes Theorem ===</f>
        <v/>
      </c>
    </row>
    <row r="36">
      <c r="A36" t="inlineStr">
        <is>
          <t>P(+|D)*P(D)</t>
        </is>
      </c>
      <c r="B36" t="n">
        <v>0.0095</v>
      </c>
    </row>
    <row r="37">
      <c r="A37" t="inlineStr">
        <is>
          <t>P(+|D^c)*P(D^c)</t>
        </is>
      </c>
      <c r="B37" t="n">
        <v>0.0495</v>
      </c>
    </row>
    <row r="38">
      <c r="A38" t="inlineStr">
        <is>
          <t>P(+)</t>
        </is>
      </c>
      <c r="B38" t="n">
        <v>0.059</v>
      </c>
    </row>
    <row r="39"/>
    <row r="40">
      <c r="A40" t="inlineStr">
        <is>
          <t>P(D|+)</t>
        </is>
      </c>
      <c r="B40" t="n">
        <v>0.161017</v>
      </c>
    </row>
    <row r="41"/>
    <row r="42"/>
    <row r="43"/>
    <row r="44">
      <c r="A44" s="4">
        <f>== Binomial Distribution ===</f>
        <v/>
      </c>
    </row>
    <row r="45">
      <c r="A45" t="inlineStr">
        <is>
          <t>C(n,k)</t>
        </is>
      </c>
      <c r="B45" t="n">
        <v>120</v>
      </c>
    </row>
    <row r="46"/>
    <row r="47">
      <c r="A47" t="inlineStr">
        <is>
          <t>p^k</t>
        </is>
      </c>
      <c r="B47" t="n">
        <v>0.027</v>
      </c>
    </row>
    <row r="48"/>
    <row r="49">
      <c r="A49" t="inlineStr">
        <is>
          <t>(1-p)^(n-k)</t>
        </is>
      </c>
      <c r="B49" t="n">
        <v>0.082354</v>
      </c>
    </row>
    <row r="50"/>
    <row r="51">
      <c r="A51" t="inlineStr">
        <is>
          <t>P(X=k)</t>
        </is>
      </c>
      <c r="B51" t="n">
        <v>0.266828</v>
      </c>
    </row>
    <row r="52"/>
    <row r="53">
      <c r="A53" t="inlineStr">
        <is>
          <t>E[X]</t>
        </is>
      </c>
      <c r="B53" t="n">
        <v>3</v>
      </c>
    </row>
    <row r="54">
      <c r="A54" t="inlineStr">
        <is>
          <t>Var(X)</t>
        </is>
      </c>
      <c r="B54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2026-01-20T07:07:36Z</dcterms:created>
  <dcterms:modified xmlns:dcterms="http://purl.org/dc/terms/" xmlns:xsi="http://www.w3.org/2001/XMLSchema-instance" xsi:type="dcterms:W3CDTF">2026-01-20T08:28:59Z</dcterms:modified>
</cp:coreProperties>
</file>